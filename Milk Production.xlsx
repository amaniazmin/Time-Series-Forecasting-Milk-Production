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tiplicative Milk Production" sheetId="1" r:id="rId4"/>
    <sheet state="visible" name="Multiplicative Summary" sheetId="2" r:id="rId5"/>
    <sheet state="visible" name="Additive Milk Production" sheetId="3" r:id="rId6"/>
    <sheet state="visible" name="Additive Summary" sheetId="4" r:id="rId7"/>
  </sheets>
  <definedNames/>
  <calcPr/>
  <extLst>
    <ext uri="GoogleSheetsCustomDataVersion2">
      <go:sheetsCustomData xmlns:go="http://customooxmlschemas.google.com/" r:id="rId8" roundtripDataChecksum="hs0ZCz9HjVpHlOZADG3toaED+xYu6QlTEQ5RIEk2D6Q="/>
    </ext>
  </extLst>
</workbook>
</file>

<file path=xl/sharedStrings.xml><?xml version="1.0" encoding="utf-8"?>
<sst xmlns="http://schemas.openxmlformats.org/spreadsheetml/2006/main" count="125" uniqueCount="61">
  <si>
    <t xml:space="preserve">Monthly milk production: pounds per cow. </t>
  </si>
  <si>
    <t>Year</t>
  </si>
  <si>
    <t>Month</t>
  </si>
  <si>
    <t>t</t>
  </si>
  <si>
    <t>Monthly Milk Production, yt</t>
  </si>
  <si>
    <t>MA</t>
  </si>
  <si>
    <t>CMA</t>
  </si>
  <si>
    <t>SN x IR</t>
  </si>
  <si>
    <t>SNt</t>
  </si>
  <si>
    <t>Dt</t>
  </si>
  <si>
    <t>TRt</t>
  </si>
  <si>
    <t>TRt * SNt</t>
  </si>
  <si>
    <t>Error</t>
  </si>
  <si>
    <t>Error^2</t>
  </si>
  <si>
    <t>Total</t>
  </si>
  <si>
    <t>Unadjusted Seasonal</t>
  </si>
  <si>
    <t>Adjusted Seasonal</t>
  </si>
  <si>
    <t>Coefficients</t>
  </si>
  <si>
    <t>Intercept (β0)</t>
  </si>
  <si>
    <t>X Variable 1 (β1)</t>
  </si>
  <si>
    <t>MSE</t>
  </si>
  <si>
    <t>Mean</t>
  </si>
  <si>
    <t>Milk production</t>
  </si>
  <si>
    <t>CLt * IRt</t>
  </si>
  <si>
    <t>CLt</t>
  </si>
  <si>
    <t>IRt</t>
  </si>
  <si>
    <t>The proximity of the forecast line to the actual data line shows a high level of accuracy in the predictions as it has minimal deviation from the real values.</t>
  </si>
  <si>
    <t>The stability of the moving average indicates a steady state with no significant changes in the trend.</t>
  </si>
  <si>
    <t xml:space="preserve"> </t>
  </si>
  <si>
    <t>Monthly milk production: pounds per cow. Jan 62 ? Dec 75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</si>
  <si>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</si>
  <si>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</si>
  <si>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</si>
  <si>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</si>
  <si>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</si>
  <si>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</si>
  <si>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</si>
  <si>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</si>
  <si>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</si>
  <si>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</si>
  <si>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</si>
  <si>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</si>
  <si>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</si>
  <si>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</si>
  <si>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</si>
  <si>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</si>
  <si>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</si>
  <si>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</si>
  <si>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</si>
  <si>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</si>
  <si>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</si>
  <si>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</si>
  <si>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</si>
  <si>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Monthly milk production: pounds per cow.</t>
  </si>
  <si>
    <t>SN + IR</t>
  </si>
  <si>
    <t xml:space="preserve">SNt </t>
  </si>
  <si>
    <t>Y-hat = TRt+SNt</t>
  </si>
  <si>
    <t>clt+irt</t>
  </si>
  <si>
    <t>clt</t>
  </si>
  <si>
    <t>irt</t>
  </si>
  <si>
    <t xml:space="preserve">The forecasting model is adaptable, as it closely follows the actual data’s trends.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</si>
</sst>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14">
    <font>
      <sz val="11.0"/>
      <color theme="1"/>
      <name val="Calibri"/>
      <scheme val="minor"/>
    </font>
    <font/>
    <font>
      <color theme="1"/>
      <name val="Calibri"/>
      <scheme val="minor"/>
    </font>
    <font>
      <color theme="1"/>
      <name val="Arial"/>
    </font>
    <font>
      <sz val="11.0"/>
      <color theme="1"/>
      <name val="Arial"/>
    </font>
    <font>
      <u/>
      <sz val="11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1.0"/>
      <color rgb="FF000000"/>
      <name val="&quot;Aptos Narrow&quot;"/>
    </font>
    <font>
      <i/>
      <sz val="11.0"/>
      <color rgb="FF000000"/>
      <name val="&quot;Aptos Narrow&quot;"/>
    </font>
    <font>
      <sz val="11.0"/>
      <color rgb="FF000000"/>
      <name val="Arial"/>
    </font>
    <font>
      <sz val="11.0"/>
      <color rgb="FF1F1F1F"/>
      <name val="Arial"/>
    </font>
    <font>
      <i/>
      <sz val="11.0"/>
      <color rgb="FF000000"/>
      <name val="Arial"/>
    </font>
    <font>
      <i/>
      <sz val="11.0"/>
      <color rgb="FF00000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6FA8DC"/>
        <bgColor rgb="FF6FA8DC"/>
      </patternFill>
    </fill>
    <fill>
      <patternFill patternType="solid">
        <fgColor rgb="FFDD7E6B"/>
        <bgColor rgb="FFDD7E6B"/>
      </patternFill>
    </fill>
    <fill>
      <patternFill patternType="solid">
        <fgColor rgb="FFFFD966"/>
        <bgColor rgb="FFFFD966"/>
      </patternFill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1" fillId="2" fontId="0" numFmtId="0" xfId="0" applyAlignment="1" applyBorder="1" applyFill="1" applyFont="1">
      <alignment horizontal="center" readingOrder="0" vertical="center"/>
    </xf>
    <xf borderId="1" fillId="2" fontId="0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horizontal="center" shrinkToFit="0" vertical="center" wrapText="1"/>
    </xf>
    <xf borderId="1" fillId="3" fontId="0" numFmtId="0" xfId="0" applyAlignment="1" applyBorder="1" applyFill="1" applyFont="1">
      <alignment horizontal="center" readingOrder="0" vertical="center"/>
    </xf>
    <xf borderId="0" fillId="0" fontId="0" numFmtId="0" xfId="0" applyAlignment="1" applyFont="1">
      <alignment horizontal="center" vertical="center"/>
    </xf>
    <xf borderId="1" fillId="4" fontId="0" numFmtId="164" xfId="0" applyAlignment="1" applyBorder="1" applyFill="1" applyFont="1" applyNumberFormat="1">
      <alignment horizontal="center" readingOrder="0" vertical="center"/>
    </xf>
    <xf borderId="1" fillId="4" fontId="0" numFmtId="0" xfId="0" applyAlignment="1" applyBorder="1" applyFont="1">
      <alignment horizontal="center" readingOrder="0" vertical="center"/>
    </xf>
    <xf borderId="2" fillId="4" fontId="0" numFmtId="0" xfId="0" applyAlignment="1" applyBorder="1" applyFont="1">
      <alignment horizontal="center" readingOrder="0" vertical="center"/>
    </xf>
    <xf borderId="1" fillId="4" fontId="0" numFmtId="0" xfId="0" applyAlignment="1" applyBorder="1" applyFont="1">
      <alignment horizontal="center" vertical="center"/>
    </xf>
    <xf borderId="3" fillId="0" fontId="1" numFmtId="0" xfId="0" applyBorder="1" applyFont="1"/>
    <xf borderId="0" fillId="0" fontId="0" numFmtId="0" xfId="0" applyAlignment="1" applyFont="1">
      <alignment horizontal="center" readingOrder="0" vertical="center"/>
    </xf>
    <xf borderId="1" fillId="4" fontId="0" numFmtId="165" xfId="0" applyAlignment="1" applyBorder="1" applyFont="1" applyNumberFormat="1">
      <alignment horizontal="center" readingOrder="0" vertical="center"/>
    </xf>
    <xf borderId="4" fillId="0" fontId="1" numFmtId="0" xfId="0" applyBorder="1" applyFont="1"/>
    <xf borderId="1" fillId="5" fontId="0" numFmtId="164" xfId="0" applyAlignment="1" applyBorder="1" applyFill="1" applyFont="1" applyNumberFormat="1">
      <alignment horizontal="center" readingOrder="0" vertical="center"/>
    </xf>
    <xf borderId="1" fillId="5" fontId="0" numFmtId="0" xfId="0" applyAlignment="1" applyBorder="1" applyFont="1">
      <alignment horizontal="center" readingOrder="0" vertical="center"/>
    </xf>
    <xf borderId="2" fillId="5" fontId="0" numFmtId="0" xfId="0" applyAlignment="1" applyBorder="1" applyFont="1">
      <alignment horizontal="center" readingOrder="0" vertical="center"/>
    </xf>
    <xf borderId="1" fillId="5" fontId="0" numFmtId="165" xfId="0" applyAlignment="1" applyBorder="1" applyFont="1" applyNumberFormat="1">
      <alignment horizontal="center" readingOrder="0" vertical="center"/>
    </xf>
    <xf borderId="1" fillId="6" fontId="0" numFmtId="164" xfId="0" applyAlignment="1" applyBorder="1" applyFill="1" applyFont="1" applyNumberFormat="1">
      <alignment horizontal="center" readingOrder="0" vertical="center"/>
    </xf>
    <xf borderId="1" fillId="6" fontId="0" numFmtId="0" xfId="0" applyAlignment="1" applyBorder="1" applyFont="1">
      <alignment horizontal="center" readingOrder="0" vertical="center"/>
    </xf>
    <xf borderId="2" fillId="6" fontId="0" numFmtId="0" xfId="0" applyAlignment="1" applyBorder="1" applyFont="1">
      <alignment horizontal="center" readingOrder="0" vertical="center"/>
    </xf>
    <xf borderId="1" fillId="6" fontId="0" numFmtId="165" xfId="0" applyAlignment="1" applyBorder="1" applyFont="1" applyNumberFormat="1">
      <alignment horizontal="center" readingOrder="0" vertical="center"/>
    </xf>
    <xf borderId="1" fillId="7" fontId="0" numFmtId="164" xfId="0" applyAlignment="1" applyBorder="1" applyFill="1" applyFont="1" applyNumberFormat="1">
      <alignment horizontal="center" readingOrder="0" vertical="center"/>
    </xf>
    <xf borderId="1" fillId="7" fontId="0" numFmtId="0" xfId="0" applyAlignment="1" applyBorder="1" applyFont="1">
      <alignment horizontal="center" readingOrder="0" vertical="center"/>
    </xf>
    <xf borderId="2" fillId="7" fontId="0" numFmtId="0" xfId="0" applyAlignment="1" applyBorder="1" applyFont="1">
      <alignment horizontal="center" readingOrder="0" vertical="center"/>
    </xf>
    <xf borderId="1" fillId="7" fontId="0" numFmtId="165" xfId="0" applyAlignment="1" applyBorder="1" applyFont="1" applyNumberFormat="1">
      <alignment horizontal="center" readingOrder="0" vertical="center"/>
    </xf>
    <xf borderId="0" fillId="3" fontId="2" numFmtId="0" xfId="0" applyAlignment="1" applyFont="1">
      <alignment horizontal="center" readingOrder="0"/>
    </xf>
    <xf borderId="0" fillId="0" fontId="2" numFmtId="0" xfId="0" applyFont="1"/>
    <xf borderId="1" fillId="8" fontId="0" numFmtId="164" xfId="0" applyAlignment="1" applyBorder="1" applyFill="1" applyFont="1" applyNumberFormat="1">
      <alignment horizontal="center" readingOrder="0" vertical="center"/>
    </xf>
    <xf borderId="1" fillId="8" fontId="0" numFmtId="0" xfId="0" applyAlignment="1" applyBorder="1" applyFont="1">
      <alignment horizontal="center" readingOrder="0" vertical="center"/>
    </xf>
    <xf borderId="2" fillId="3" fontId="0" numFmtId="0" xfId="0" applyAlignment="1" applyBorder="1" applyFont="1">
      <alignment horizontal="center" readingOrder="0" vertical="center"/>
    </xf>
    <xf borderId="1" fillId="8" fontId="0" numFmtId="165" xfId="0" applyAlignment="1" applyBorder="1" applyFont="1" applyNumberFormat="1">
      <alignment horizontal="center" readingOrder="0" vertical="center"/>
    </xf>
    <xf borderId="1" fillId="0" fontId="0" numFmtId="164" xfId="0" applyAlignment="1" applyBorder="1" applyFont="1" applyNumberFormat="1">
      <alignment horizontal="center" readingOrder="0" vertical="center"/>
    </xf>
    <xf borderId="1" fillId="0" fontId="0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horizontal="center" readingOrder="0"/>
    </xf>
    <xf borderId="6" fillId="0" fontId="1" numFmtId="0" xfId="0" applyBorder="1" applyFont="1"/>
    <xf borderId="7" fillId="0" fontId="1" numFmtId="0" xfId="0" applyBorder="1" applyFont="1"/>
    <xf borderId="1" fillId="3" fontId="0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horizontal="center" vertical="center"/>
    </xf>
    <xf borderId="1" fillId="3" fontId="3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3" fontId="0" numFmtId="0" xfId="0" applyAlignment="1" applyBorder="1" applyFont="1">
      <alignment horizontal="center" vertical="center"/>
    </xf>
    <xf borderId="1" fillId="0" fontId="0" numFmtId="165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/>
    </xf>
    <xf borderId="1" fillId="5" fontId="6" numFmtId="0" xfId="0" applyAlignment="1" applyBorder="1" applyFont="1">
      <alignment horizontal="center" shrinkToFit="0" vertical="bottom" wrapText="0"/>
    </xf>
    <xf borderId="1" fillId="6" fontId="6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/>
    </xf>
    <xf borderId="0" fillId="9" fontId="0" numFmtId="0" xfId="0" applyAlignment="1" applyFill="1" applyFont="1">
      <alignment horizontal="center" readingOrder="0" vertical="center"/>
    </xf>
    <xf borderId="0" fillId="9" fontId="0" numFmtId="0" xfId="0" applyAlignment="1" applyFont="1">
      <alignment horizontal="center" vertical="center"/>
    </xf>
    <xf borderId="1" fillId="5" fontId="7" numFmtId="0" xfId="0" applyAlignment="1" applyBorder="1" applyFont="1">
      <alignment horizontal="center" vertical="bottom"/>
    </xf>
    <xf borderId="7" fillId="2" fontId="4" numFmtId="0" xfId="0" applyAlignment="1" applyBorder="1" applyFont="1">
      <alignment horizontal="center" shrinkToFit="0" wrapText="1"/>
    </xf>
    <xf borderId="7" fillId="2" fontId="4" numFmtId="0" xfId="0" applyAlignment="1" applyBorder="1" applyFont="1">
      <alignment horizontal="center"/>
    </xf>
    <xf borderId="7" fillId="2" fontId="4" numFmtId="0" xfId="0" applyAlignment="1" applyBorder="1" applyFont="1">
      <alignment horizontal="center" readingOrder="0" vertical="bottom"/>
    </xf>
    <xf borderId="4" fillId="4" fontId="4" numFmtId="0" xfId="0" applyAlignment="1" applyBorder="1" applyFont="1">
      <alignment horizontal="center" vertical="bottom"/>
    </xf>
    <xf borderId="8" fillId="4" fontId="4" numFmtId="0" xfId="0" applyAlignment="1" applyBorder="1" applyFont="1">
      <alignment horizontal="center" vertical="bottom"/>
    </xf>
    <xf borderId="8" fillId="4" fontId="4" numFmtId="0" xfId="0" applyAlignment="1" applyBorder="1" applyFont="1">
      <alignment horizontal="center" readingOrder="0" vertical="bottom"/>
    </xf>
    <xf borderId="8" fillId="4" fontId="7" numFmtId="0" xfId="0" applyAlignment="1" applyBorder="1" applyFont="1">
      <alignment vertical="bottom"/>
    </xf>
    <xf borderId="4" fillId="5" fontId="4" numFmtId="0" xfId="0" applyAlignment="1" applyBorder="1" applyFont="1">
      <alignment horizontal="center" vertical="bottom"/>
    </xf>
    <xf borderId="8" fillId="5" fontId="4" numFmtId="0" xfId="0" applyAlignment="1" applyBorder="1" applyFont="1">
      <alignment horizontal="center" vertical="bottom"/>
    </xf>
    <xf borderId="8" fillId="5" fontId="4" numFmtId="0" xfId="0" applyAlignment="1" applyBorder="1" applyFont="1">
      <alignment horizontal="center" readingOrder="0" vertical="bottom"/>
    </xf>
    <xf borderId="4" fillId="6" fontId="4" numFmtId="0" xfId="0" applyAlignment="1" applyBorder="1" applyFont="1">
      <alignment horizontal="center" vertical="bottom"/>
    </xf>
    <xf borderId="8" fillId="6" fontId="4" numFmtId="0" xfId="0" applyAlignment="1" applyBorder="1" applyFont="1">
      <alignment horizontal="center" vertical="bottom"/>
    </xf>
    <xf borderId="8" fillId="6" fontId="4" numFmtId="0" xfId="0" applyAlignment="1" applyBorder="1" applyFont="1">
      <alignment horizontal="center" readingOrder="0" vertical="bottom"/>
    </xf>
    <xf borderId="4" fillId="7" fontId="4" numFmtId="0" xfId="0" applyAlignment="1" applyBorder="1" applyFont="1">
      <alignment horizontal="center" vertical="bottom"/>
    </xf>
    <xf borderId="8" fillId="7" fontId="4" numFmtId="0" xfId="0" applyAlignment="1" applyBorder="1" applyFont="1">
      <alignment horizontal="center" vertical="bottom"/>
    </xf>
    <xf borderId="8" fillId="7" fontId="4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6" fillId="0" fontId="9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9" fillId="0" fontId="8" numFmtId="0" xfId="0" applyAlignment="1" applyBorder="1" applyFont="1">
      <alignment readingOrder="0" shrinkToFit="0" vertical="bottom" wrapText="0"/>
    </xf>
    <xf borderId="9" fillId="0" fontId="8" numFmtId="0" xfId="0" applyAlignment="1" applyBorder="1" applyFont="1">
      <alignment horizontal="right" readingOrder="0" shrinkToFit="0" vertical="bottom" wrapText="0"/>
    </xf>
    <xf borderId="6" fillId="0" fontId="9" numFmtId="0" xfId="0" applyAlignment="1" applyBorder="1" applyFont="1">
      <alignment horizontal="center" shrinkToFit="0" vertical="bottom" wrapText="0"/>
    </xf>
    <xf borderId="0" fillId="0" fontId="8" numFmtId="11" xfId="0" applyAlignment="1" applyFont="1" applyNumberFormat="1">
      <alignment horizontal="right" readingOrder="0" shrinkToFit="0" vertical="bottom" wrapText="0"/>
    </xf>
    <xf borderId="9" fillId="0" fontId="8" numFmtId="0" xfId="0" applyAlignment="1" applyBorder="1" applyFont="1">
      <alignment shrinkToFit="0" vertical="bottom" wrapText="0"/>
    </xf>
    <xf borderId="9" fillId="0" fontId="8" numFmtId="11" xfId="0" applyAlignment="1" applyBorder="1" applyFont="1" applyNumberFormat="1">
      <alignment horizontal="right" readingOrder="0" shrinkToFit="0" vertical="bottom" wrapText="0"/>
    </xf>
    <xf borderId="1" fillId="3" fontId="10" numFmtId="0" xfId="0" applyAlignment="1" applyBorder="1" applyFont="1">
      <alignment horizontal="center" readingOrder="0" shrinkToFit="0" vertical="center" wrapText="0"/>
    </xf>
    <xf borderId="1" fillId="3" fontId="10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readingOrder="0" vertical="center"/>
    </xf>
    <xf borderId="7" fillId="2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4" fontId="10" numFmtId="164" xfId="0" applyAlignment="1" applyBorder="1" applyFont="1" applyNumberFormat="1">
      <alignment horizontal="center" readingOrder="0" shrinkToFit="0" vertical="center" wrapText="0"/>
    </xf>
    <xf borderId="1" fillId="4" fontId="10" numFmtId="0" xfId="0" applyAlignment="1" applyBorder="1" applyFon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1" fillId="4" fontId="11" numFmtId="0" xfId="0" applyAlignment="1" applyBorder="1" applyFont="1">
      <alignment horizontal="center" vertical="center"/>
    </xf>
    <xf borderId="1" fillId="4" fontId="10" numFmtId="165" xfId="0" applyAlignment="1" applyBorder="1" applyFont="1" applyNumberFormat="1">
      <alignment horizontal="center" readingOrder="0" shrinkToFit="0" vertical="center" wrapText="0"/>
    </xf>
    <xf borderId="1" fillId="5" fontId="10" numFmtId="164" xfId="0" applyAlignment="1" applyBorder="1" applyFont="1" applyNumberFormat="1">
      <alignment horizontal="center" readingOrder="0" shrinkToFit="0" vertical="center" wrapText="0"/>
    </xf>
    <xf borderId="1" fillId="5" fontId="10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1" fillId="5" fontId="11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center" shrinkToFit="0" vertical="center" wrapText="0"/>
    </xf>
    <xf borderId="1" fillId="5" fontId="4" numFmtId="165" xfId="0" applyAlignment="1" applyBorder="1" applyFont="1" applyNumberFormat="1">
      <alignment horizontal="center" vertical="center"/>
    </xf>
    <xf borderId="1" fillId="5" fontId="10" numFmtId="165" xfId="0" applyAlignment="1" applyBorder="1" applyFont="1" applyNumberFormat="1">
      <alignment horizontal="center" readingOrder="0" shrinkToFit="0" vertical="center" wrapText="0"/>
    </xf>
    <xf borderId="1" fillId="6" fontId="10" numFmtId="164" xfId="0" applyAlignment="1" applyBorder="1" applyFont="1" applyNumberFormat="1">
      <alignment horizontal="center" readingOrder="0" shrinkToFit="0" vertical="center" wrapText="0"/>
    </xf>
    <xf borderId="1" fillId="6" fontId="10" numFmtId="0" xfId="0" applyAlignment="1" applyBorder="1" applyFont="1">
      <alignment horizontal="center" readingOrder="0" shrinkToFit="0" vertical="center" wrapText="0"/>
    </xf>
    <xf borderId="2" fillId="6" fontId="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vertical="center"/>
    </xf>
    <xf borderId="1" fillId="6" fontId="11" numFmtId="0" xfId="0" applyAlignment="1" applyBorder="1" applyFont="1">
      <alignment horizontal="center" vertical="center"/>
    </xf>
    <xf borderId="1" fillId="6" fontId="10" numFmtId="165" xfId="0" applyAlignment="1" applyBorder="1" applyFont="1" applyNumberFormat="1">
      <alignment horizontal="center" readingOrder="0" shrinkToFit="0" vertical="center" wrapText="0"/>
    </xf>
    <xf borderId="1" fillId="7" fontId="10" numFmtId="164" xfId="0" applyAlignment="1" applyBorder="1" applyFont="1" applyNumberFormat="1">
      <alignment horizontal="center" readingOrder="0" shrinkToFit="0" vertical="center" wrapText="0"/>
    </xf>
    <xf borderId="1" fillId="7" fontId="10" numFmtId="0" xfId="0" applyAlignment="1" applyBorder="1" applyFont="1">
      <alignment horizontal="center" readingOrder="0" shrinkToFit="0" vertical="center" wrapText="0"/>
    </xf>
    <xf borderId="3" fillId="7" fontId="4" numFmtId="0" xfId="0" applyAlignment="1" applyBorder="1" applyFont="1">
      <alignment horizontal="center" readingOrder="0" vertical="center"/>
    </xf>
    <xf borderId="1" fillId="7" fontId="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readingOrder="0" vertical="center"/>
    </xf>
    <xf borderId="1" fillId="7" fontId="11" numFmtId="0" xfId="0" applyAlignment="1" applyBorder="1" applyFont="1">
      <alignment horizontal="center" vertical="center"/>
    </xf>
    <xf borderId="1" fillId="7" fontId="10" numFmtId="0" xfId="0" applyAlignment="1" applyBorder="1" applyFont="1">
      <alignment horizontal="center" shrinkToFit="0" vertical="center" wrapText="0"/>
    </xf>
    <xf borderId="1" fillId="7" fontId="10" numFmtId="165" xfId="0" applyAlignment="1" applyBorder="1" applyFont="1" applyNumberFormat="1">
      <alignment horizontal="center" readingOrder="0" shrinkToFit="0" vertical="center" wrapText="0"/>
    </xf>
    <xf borderId="1" fillId="10" fontId="10" numFmtId="164" xfId="0" applyAlignment="1" applyBorder="1" applyFill="1" applyFont="1" applyNumberFormat="1">
      <alignment horizontal="center" readingOrder="0" shrinkToFit="0" vertical="center" wrapText="0"/>
    </xf>
    <xf borderId="1" fillId="10" fontId="10" numFmtId="0" xfId="0" applyAlignment="1" applyBorder="1" applyFont="1">
      <alignment horizontal="center" readingOrder="0" shrinkToFit="0" vertical="center" wrapText="0"/>
    </xf>
    <xf borderId="5" fillId="2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6" fontId="10" numFmtId="0" xfId="0" applyAlignment="1" applyBorder="1" applyFont="1">
      <alignment horizontal="center" shrinkToFit="0" vertical="center" wrapText="0"/>
    </xf>
    <xf borderId="6" fillId="3" fontId="12" numFmtId="0" xfId="0" applyAlignment="1" applyBorder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9" fillId="0" fontId="10" numFmtId="0" xfId="0" applyAlignment="1" applyBorder="1" applyFont="1">
      <alignment horizontal="center" readingOrder="0" shrinkToFit="0" vertical="center" wrapText="0"/>
    </xf>
    <xf borderId="1" fillId="10" fontId="10" numFmtId="165" xfId="0" applyAlignment="1" applyBorder="1" applyFont="1" applyNumberFormat="1">
      <alignment horizontal="center" readingOrder="0" shrinkToFit="0" vertical="center" wrapText="0"/>
    </xf>
    <xf borderId="0" fillId="9" fontId="4" numFmtId="0" xfId="0" applyAlignment="1" applyFont="1">
      <alignment horizontal="center" readingOrder="0" vertical="center"/>
    </xf>
    <xf borderId="0" fillId="9" fontId="4" numFmtId="0" xfId="0" applyAlignment="1" applyFont="1">
      <alignment horizontal="center" vertical="center"/>
    </xf>
    <xf borderId="1" fillId="11" fontId="10" numFmtId="164" xfId="0" applyAlignment="1" applyBorder="1" applyFill="1" applyFont="1" applyNumberFormat="1">
      <alignment horizontal="center" readingOrder="0" shrinkToFit="0" vertical="center" wrapText="0"/>
    </xf>
    <xf borderId="1" fillId="11" fontId="10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vertical="center"/>
    </xf>
    <xf borderId="1" fillId="11" fontId="10" numFmtId="165" xfId="0" applyAlignment="1" applyBorder="1" applyFont="1" applyNumberFormat="1">
      <alignment horizontal="center" readingOrder="0" shrinkToFit="0" vertical="center" wrapText="0"/>
    </xf>
    <xf borderId="1" fillId="8" fontId="10" numFmtId="164" xfId="0" applyAlignment="1" applyBorder="1" applyFont="1" applyNumberFormat="1">
      <alignment horizontal="center" readingOrder="0" shrinkToFit="0" vertical="center" wrapText="0"/>
    </xf>
    <xf borderId="1" fillId="8" fontId="10" numFmtId="0" xfId="0" applyAlignment="1" applyBorder="1" applyFont="1">
      <alignment horizontal="center" readingOrder="0" shrinkToFit="0" vertical="center" wrapText="0"/>
    </xf>
    <xf borderId="1" fillId="8" fontId="10" numFmtId="165" xfId="0" applyAlignment="1" applyBorder="1" applyFont="1" applyNumberFormat="1">
      <alignment horizontal="center" readingOrder="0" shrinkToFit="0" vertical="center" wrapText="0"/>
    </xf>
    <xf borderId="1" fillId="12" fontId="10" numFmtId="164" xfId="0" applyAlignment="1" applyBorder="1" applyFill="1" applyFont="1" applyNumberFormat="1">
      <alignment horizontal="center" readingOrder="0" shrinkToFit="0" vertical="center" wrapText="0"/>
    </xf>
    <xf borderId="1" fillId="12" fontId="10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vertical="center"/>
    </xf>
    <xf borderId="1" fillId="12" fontId="10" numFmtId="165" xfId="0" applyAlignment="1" applyBorder="1" applyFont="1" applyNumberFormat="1">
      <alignment horizontal="center" readingOrder="0" shrinkToFit="0" vertical="center" wrapText="0"/>
    </xf>
    <xf borderId="1" fillId="13" fontId="10" numFmtId="164" xfId="0" applyAlignment="1" applyBorder="1" applyFill="1" applyFont="1" applyNumberFormat="1">
      <alignment horizontal="center" readingOrder="0" shrinkToFit="0" vertical="center" wrapText="0"/>
    </xf>
    <xf borderId="1" fillId="13" fontId="10" numFmtId="0" xfId="0" applyAlignment="1" applyBorder="1" applyFont="1">
      <alignment horizontal="center" readingOrder="0" shrinkToFit="0" vertical="center" wrapText="0"/>
    </xf>
    <xf borderId="1" fillId="13" fontId="10" numFmtId="165" xfId="0" applyAlignment="1" applyBorder="1" applyFont="1" applyNumberFormat="1">
      <alignment horizontal="center" readingOrder="0" shrinkToFit="0" vertical="center" wrapText="0"/>
    </xf>
    <xf borderId="1" fillId="14" fontId="10" numFmtId="164" xfId="0" applyAlignment="1" applyBorder="1" applyFill="1" applyFont="1" applyNumberFormat="1">
      <alignment horizontal="center" readingOrder="0" shrinkToFit="0" vertical="center" wrapText="0"/>
    </xf>
    <xf borderId="1" fillId="14" fontId="10" numFmtId="0" xfId="0" applyAlignment="1" applyBorder="1" applyFont="1">
      <alignment horizontal="center" readingOrder="0" shrinkToFit="0" vertical="center" wrapText="0"/>
    </xf>
    <xf borderId="1" fillId="14" fontId="10" numFmtId="165" xfId="0" applyAlignment="1" applyBorder="1" applyFont="1" applyNumberFormat="1">
      <alignment horizontal="center" readingOrder="0" shrinkToFit="0" vertical="center" wrapText="0"/>
    </xf>
    <xf borderId="1" fillId="15" fontId="10" numFmtId="164" xfId="0" applyAlignment="1" applyBorder="1" applyFill="1" applyFont="1" applyNumberFormat="1">
      <alignment horizontal="center" readingOrder="0" shrinkToFit="0" vertical="center" wrapText="0"/>
    </xf>
    <xf borderId="1" fillId="15" fontId="10" numFmtId="0" xfId="0" applyAlignment="1" applyBorder="1" applyFont="1">
      <alignment horizontal="center" readingOrder="0" shrinkToFit="0" vertical="center" wrapText="0"/>
    </xf>
    <xf borderId="1" fillId="15" fontId="10" numFmtId="165" xfId="0" applyAlignment="1" applyBorder="1" applyFont="1" applyNumberFormat="1">
      <alignment horizontal="center" readingOrder="0" shrinkToFit="0" vertical="center" wrapText="0"/>
    </xf>
    <xf borderId="1" fillId="16" fontId="10" numFmtId="164" xfId="0" applyAlignment="1" applyBorder="1" applyFill="1" applyFont="1" applyNumberFormat="1">
      <alignment horizontal="center" readingOrder="0" shrinkToFit="0" vertical="center" wrapText="0"/>
    </xf>
    <xf borderId="1" fillId="16" fontId="10" numFmtId="0" xfId="0" applyAlignment="1" applyBorder="1" applyFont="1">
      <alignment horizontal="center" readingOrder="0" shrinkToFit="0" vertical="center" wrapText="0"/>
    </xf>
    <xf borderId="1" fillId="16" fontId="10" numFmtId="165" xfId="0" applyAlignment="1" applyBorder="1" applyFont="1" applyNumberFormat="1">
      <alignment horizontal="center" readingOrder="0" shrinkToFit="0" vertical="center" wrapText="0"/>
    </xf>
    <xf borderId="1" fillId="17" fontId="10" numFmtId="164" xfId="0" applyAlignment="1" applyBorder="1" applyFill="1" applyFont="1" applyNumberFormat="1">
      <alignment horizontal="center" readingOrder="0" shrinkToFit="0" vertical="center" wrapText="0"/>
    </xf>
    <xf borderId="1" fillId="17" fontId="10" numFmtId="0" xfId="0" applyAlignment="1" applyBorder="1" applyFont="1">
      <alignment horizontal="center" readingOrder="0" shrinkToFit="0" vertical="center" wrapText="0"/>
    </xf>
    <xf borderId="1" fillId="17" fontId="10" numFmtId="165" xfId="0" applyAlignment="1" applyBorder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6" fillId="0" fontId="13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9" fillId="0" fontId="6" numFmtId="0" xfId="0" applyAlignment="1" applyBorder="1" applyFont="1">
      <alignment readingOrder="0" shrinkToFit="0" vertical="bottom" wrapText="0"/>
    </xf>
    <xf borderId="9" fillId="0" fontId="6" numFmtId="0" xfId="0" applyAlignment="1" applyBorder="1" applyFont="1">
      <alignment horizontal="right" readingOrder="0" shrinkToFit="0" vertical="bottom" wrapText="0"/>
    </xf>
    <xf borderId="6" fillId="0" fontId="13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9" fillId="0" fontId="6" numFmtId="0" xfId="0" applyAlignment="1" applyBorder="1" applyFont="1">
      <alignment shrinkToFit="0" vertical="bottom" wrapText="0"/>
    </xf>
    <xf borderId="0" fillId="0" fontId="6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3.png"/><Relationship Id="rId5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172</xdr:row>
      <xdr:rowOff>66675</xdr:rowOff>
    </xdr:from>
    <xdr:ext cx="6800850" cy="3533775"/>
    <xdr:pic>
      <xdr:nvPicPr>
        <xdr:cNvPr id="121582837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895350</xdr:colOff>
      <xdr:row>112</xdr:row>
      <xdr:rowOff>161925</xdr:rowOff>
    </xdr:from>
    <xdr:ext cx="9315450" cy="40005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828675</xdr:colOff>
      <xdr:row>86</xdr:row>
      <xdr:rowOff>142875</xdr:rowOff>
    </xdr:from>
    <xdr:ext cx="9467850" cy="41243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933450</xdr:colOff>
      <xdr:row>134</xdr:row>
      <xdr:rowOff>161925</xdr:rowOff>
    </xdr:from>
    <xdr:ext cx="8753475" cy="45339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1381125</xdr:colOff>
      <xdr:row>134</xdr:row>
      <xdr:rowOff>171450</xdr:rowOff>
    </xdr:from>
    <xdr:ext cx="9210675" cy="453390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390525" cy="19050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147</xdr:row>
      <xdr:rowOff>0</xdr:rowOff>
    </xdr:from>
    <xdr:ext cx="390525" cy="19050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971550</xdr:colOff>
      <xdr:row>67</xdr:row>
      <xdr:rowOff>76200</xdr:rowOff>
    </xdr:from>
    <xdr:ext cx="9563100" cy="36195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89</xdr:row>
      <xdr:rowOff>85725</xdr:rowOff>
    </xdr:from>
    <xdr:ext cx="9563100" cy="344805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118</xdr:row>
      <xdr:rowOff>142875</xdr:rowOff>
    </xdr:from>
    <xdr:ext cx="8686800" cy="39814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141</xdr:row>
      <xdr:rowOff>133350</xdr:rowOff>
    </xdr:from>
    <xdr:ext cx="9210675" cy="45339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419100" cy="190500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43"/>
    <col customWidth="1" min="5" max="5" width="16.14"/>
    <col customWidth="1" min="7" max="7" width="24.86"/>
    <col customWidth="1" min="12" max="12" width="21.29"/>
    <col customWidth="1" min="13" max="13" width="21.86"/>
    <col customWidth="1" min="14" max="14" width="16.29"/>
  </cols>
  <sheetData>
    <row r="1">
      <c r="A1" s="1"/>
      <c r="B1" s="2" t="s">
        <v>0</v>
      </c>
      <c r="C1" s="3"/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S1" s="5"/>
      <c r="T1" s="5"/>
      <c r="U1" s="5"/>
      <c r="V1" s="5"/>
      <c r="W1" s="5"/>
      <c r="X1" s="5"/>
      <c r="Y1" s="5"/>
    </row>
    <row r="2">
      <c r="A2" s="6">
        <v>22647.0</v>
      </c>
      <c r="B2" s="7">
        <v>589.0</v>
      </c>
      <c r="C2" s="5"/>
      <c r="D2" s="8">
        <v>1962.0</v>
      </c>
      <c r="E2" s="7">
        <v>1.0</v>
      </c>
      <c r="F2" s="7">
        <v>1.0</v>
      </c>
      <c r="G2" s="7">
        <v>589.0</v>
      </c>
      <c r="H2" s="7"/>
      <c r="I2" s="9"/>
      <c r="J2" s="9"/>
      <c r="K2" s="7">
        <v>0.974734522</v>
      </c>
      <c r="L2" s="7">
        <f>G2/K2</f>
        <v>604.267097</v>
      </c>
      <c r="M2" s="7">
        <v>605.156191</v>
      </c>
      <c r="N2" s="7">
        <v>589.8666303</v>
      </c>
      <c r="O2" s="7">
        <v>-0.866630285</v>
      </c>
      <c r="P2" s="7">
        <v>0.751048051</v>
      </c>
      <c r="S2" s="5"/>
      <c r="T2" s="5"/>
      <c r="U2" s="5"/>
      <c r="V2" s="5"/>
      <c r="W2" s="5"/>
      <c r="X2" s="5"/>
      <c r="Y2" s="5"/>
    </row>
    <row r="3">
      <c r="A3" s="6">
        <v>22678.0</v>
      </c>
      <c r="B3" s="7">
        <v>561.0</v>
      </c>
      <c r="C3" s="5"/>
      <c r="D3" s="10"/>
      <c r="E3" s="7">
        <v>2.0</v>
      </c>
      <c r="F3" s="7">
        <v>2.0</v>
      </c>
      <c r="G3" s="7">
        <v>561.0</v>
      </c>
      <c r="H3" s="7"/>
      <c r="I3" s="9"/>
      <c r="J3" s="9"/>
      <c r="K3" s="7">
        <v>0.930783989</v>
      </c>
      <c r="L3" s="7">
        <v>602.717716</v>
      </c>
      <c r="M3" s="7">
        <v>606.8335012</v>
      </c>
      <c r="N3" s="7">
        <v>564.830907</v>
      </c>
      <c r="O3" s="7">
        <v>-3.830906958</v>
      </c>
      <c r="P3" s="7">
        <v>14.67584812</v>
      </c>
      <c r="S3" s="5"/>
      <c r="T3" s="5"/>
      <c r="U3" s="5"/>
      <c r="V3" s="5"/>
      <c r="W3" s="5"/>
      <c r="X3" s="5"/>
      <c r="Y3" s="5"/>
    </row>
    <row r="4">
      <c r="A4" s="6">
        <v>22706.0</v>
      </c>
      <c r="B4" s="7">
        <v>640.0</v>
      </c>
      <c r="C4" s="5"/>
      <c r="D4" s="10"/>
      <c r="E4" s="7">
        <v>3.0</v>
      </c>
      <c r="F4" s="7">
        <v>3.0</v>
      </c>
      <c r="G4" s="7">
        <v>640.0</v>
      </c>
      <c r="H4" s="7"/>
      <c r="I4" s="9"/>
      <c r="J4" s="9"/>
      <c r="K4" s="7">
        <v>1.053630082</v>
      </c>
      <c r="L4" s="7">
        <v>607.4238111</v>
      </c>
      <c r="M4" s="7">
        <v>608.5108114</v>
      </c>
      <c r="N4" s="7">
        <v>641.1452962</v>
      </c>
      <c r="O4" s="7">
        <v>-1.14529615</v>
      </c>
      <c r="P4" s="7">
        <v>1.311703272</v>
      </c>
      <c r="S4" s="5"/>
      <c r="T4" s="5"/>
      <c r="U4" s="5"/>
      <c r="V4" s="5"/>
      <c r="W4" s="5"/>
      <c r="X4" s="5"/>
      <c r="Y4" s="5"/>
    </row>
    <row r="5">
      <c r="A5" s="6">
        <v>22737.0</v>
      </c>
      <c r="B5" s="7">
        <v>656.0</v>
      </c>
      <c r="C5" s="11"/>
      <c r="D5" s="10"/>
      <c r="E5" s="7">
        <v>4.0</v>
      </c>
      <c r="F5" s="7">
        <v>4.0</v>
      </c>
      <c r="G5" s="7">
        <v>656.0</v>
      </c>
      <c r="H5" s="7"/>
      <c r="I5" s="9"/>
      <c r="J5" s="9"/>
      <c r="K5" s="7">
        <v>1.076320068</v>
      </c>
      <c r="L5" s="7">
        <v>609.48413</v>
      </c>
      <c r="M5" s="7">
        <v>610.1881216</v>
      </c>
      <c r="N5" s="7">
        <v>656.7577202</v>
      </c>
      <c r="O5" s="7">
        <v>-0.757720242</v>
      </c>
      <c r="P5" s="7">
        <v>0.574139966</v>
      </c>
      <c r="S5" s="5"/>
      <c r="T5" s="5"/>
      <c r="U5" s="5"/>
      <c r="V5" s="5"/>
      <c r="W5" s="5"/>
      <c r="X5" s="5"/>
      <c r="Y5" s="5"/>
    </row>
    <row r="6">
      <c r="A6" s="6">
        <v>22767.0</v>
      </c>
      <c r="B6" s="7">
        <v>727.0</v>
      </c>
      <c r="C6" s="5"/>
      <c r="D6" s="10"/>
      <c r="E6" s="7">
        <v>5.0</v>
      </c>
      <c r="F6" s="7">
        <v>5.0</v>
      </c>
      <c r="G6" s="7">
        <v>727.0</v>
      </c>
      <c r="H6" s="7"/>
      <c r="I6" s="9"/>
      <c r="J6" s="9"/>
      <c r="K6" s="7">
        <v>1.172911398</v>
      </c>
      <c r="L6" s="7">
        <v>619.8251643</v>
      </c>
      <c r="M6" s="7">
        <v>611.8654318</v>
      </c>
      <c r="N6" s="7">
        <v>717.663939</v>
      </c>
      <c r="O6" s="7">
        <v>9.336060997</v>
      </c>
      <c r="P6" s="7">
        <v>87.16203495</v>
      </c>
      <c r="S6" s="5"/>
      <c r="T6" s="5"/>
      <c r="U6" s="5"/>
      <c r="V6" s="5"/>
      <c r="W6" s="5"/>
      <c r="X6" s="5"/>
      <c r="Y6" s="5"/>
    </row>
    <row r="7">
      <c r="A7" s="6">
        <v>22798.0</v>
      </c>
      <c r="B7" s="7">
        <v>697.0</v>
      </c>
      <c r="C7" s="5"/>
      <c r="D7" s="10"/>
      <c r="E7" s="7">
        <v>6.0</v>
      </c>
      <c r="F7" s="7">
        <v>6.0</v>
      </c>
      <c r="G7" s="7">
        <v>697.0</v>
      </c>
      <c r="H7" s="7"/>
      <c r="I7" s="9"/>
      <c r="J7" s="9"/>
      <c r="K7" s="7">
        <v>1.126142243</v>
      </c>
      <c r="L7" s="7">
        <v>618.9271423</v>
      </c>
      <c r="M7" s="7">
        <v>613.542742</v>
      </c>
      <c r="N7" s="7">
        <v>690.9363994</v>
      </c>
      <c r="O7" s="7">
        <v>6.063600621</v>
      </c>
      <c r="P7" s="7">
        <v>36.76725249</v>
      </c>
      <c r="S7" s="5"/>
      <c r="T7" s="5"/>
      <c r="U7" s="5"/>
      <c r="V7" s="5"/>
      <c r="W7" s="5"/>
      <c r="X7" s="5"/>
      <c r="Y7" s="5"/>
    </row>
    <row r="8">
      <c r="A8" s="6">
        <v>22828.0</v>
      </c>
      <c r="B8" s="7">
        <v>640.0</v>
      </c>
      <c r="C8" s="5"/>
      <c r="D8" s="10"/>
      <c r="E8" s="7">
        <v>7.0</v>
      </c>
      <c r="F8" s="7">
        <v>7.0</v>
      </c>
      <c r="G8" s="7">
        <v>640.0</v>
      </c>
      <c r="H8" s="7"/>
      <c r="I8" s="9"/>
      <c r="J8" s="9"/>
      <c r="K8" s="7">
        <v>1.037666718</v>
      </c>
      <c r="L8" s="7">
        <v>616.7683601</v>
      </c>
      <c r="M8" s="7">
        <v>615.2200522</v>
      </c>
      <c r="N8" s="7">
        <v>638.3933724</v>
      </c>
      <c r="O8" s="7">
        <v>1.606627589</v>
      </c>
      <c r="P8" s="7">
        <v>2.581252211</v>
      </c>
      <c r="S8" s="5"/>
      <c r="T8" s="5"/>
      <c r="U8" s="5"/>
      <c r="V8" s="5"/>
      <c r="W8" s="5"/>
      <c r="X8" s="5"/>
      <c r="Y8" s="5"/>
    </row>
    <row r="9">
      <c r="A9" s="6">
        <v>22859.0</v>
      </c>
      <c r="B9" s="7">
        <v>599.0</v>
      </c>
      <c r="C9" s="5"/>
      <c r="D9" s="10"/>
      <c r="E9" s="7">
        <v>8.0</v>
      </c>
      <c r="F9" s="7">
        <v>8.0</v>
      </c>
      <c r="G9" s="7">
        <v>599.0</v>
      </c>
      <c r="H9" s="7"/>
      <c r="I9" s="9"/>
      <c r="J9" s="9"/>
      <c r="K9" s="7">
        <v>0.968666731</v>
      </c>
      <c r="L9" s="7">
        <v>618.3757333</v>
      </c>
      <c r="M9" s="7">
        <v>616.8973624</v>
      </c>
      <c r="N9" s="7">
        <v>597.5679513</v>
      </c>
      <c r="O9" s="7">
        <v>1.432048685</v>
      </c>
      <c r="P9" s="7">
        <v>2.050763436</v>
      </c>
      <c r="S9" s="5"/>
      <c r="T9" s="5"/>
      <c r="U9" s="5"/>
      <c r="V9" s="5"/>
      <c r="W9" s="5"/>
      <c r="X9" s="5"/>
      <c r="Y9" s="5"/>
    </row>
    <row r="10">
      <c r="A10" s="6">
        <v>22890.0</v>
      </c>
      <c r="B10" s="7">
        <v>568.0</v>
      </c>
      <c r="C10" s="5"/>
      <c r="D10" s="10"/>
      <c r="E10" s="7">
        <v>9.0</v>
      </c>
      <c r="F10" s="7">
        <v>9.0</v>
      </c>
      <c r="G10" s="7">
        <v>568.0</v>
      </c>
      <c r="H10" s="7"/>
      <c r="I10" s="9"/>
      <c r="J10" s="9"/>
      <c r="K10" s="7">
        <v>0.912421843</v>
      </c>
      <c r="L10" s="7">
        <v>622.519073</v>
      </c>
      <c r="M10" s="7">
        <v>618.5746726</v>
      </c>
      <c r="N10" s="7">
        <v>564.4010429</v>
      </c>
      <c r="O10" s="7">
        <v>3.598957089</v>
      </c>
      <c r="P10" s="7">
        <v>12.95249213</v>
      </c>
      <c r="S10" s="5"/>
      <c r="T10" s="5"/>
      <c r="U10" s="5"/>
      <c r="V10" s="5"/>
      <c r="W10" s="5"/>
      <c r="X10" s="5"/>
      <c r="Y10" s="5"/>
    </row>
    <row r="11">
      <c r="A11" s="12">
        <v>22920.0</v>
      </c>
      <c r="B11" s="7">
        <v>577.0</v>
      </c>
      <c r="C11" s="5"/>
      <c r="D11" s="10"/>
      <c r="E11" s="7">
        <v>10.0</v>
      </c>
      <c r="F11" s="7">
        <v>10.0</v>
      </c>
      <c r="G11" s="7">
        <v>577.0</v>
      </c>
      <c r="H11" s="7"/>
      <c r="I11" s="9"/>
      <c r="J11" s="9"/>
      <c r="K11" s="7">
        <v>0.919202025</v>
      </c>
      <c r="L11" s="7">
        <v>627.7183733</v>
      </c>
      <c r="M11" s="7">
        <v>620.2519828</v>
      </c>
      <c r="N11" s="7">
        <v>570.1368787</v>
      </c>
      <c r="O11" s="7">
        <v>6.863121312</v>
      </c>
      <c r="P11" s="7">
        <v>47.10243415</v>
      </c>
      <c r="S11" s="5"/>
      <c r="T11" s="5"/>
      <c r="U11" s="5"/>
      <c r="V11" s="5"/>
      <c r="W11" s="5"/>
      <c r="X11" s="5"/>
      <c r="Y11" s="5"/>
    </row>
    <row r="12">
      <c r="A12" s="12">
        <v>22951.0</v>
      </c>
      <c r="B12" s="7">
        <v>553.0</v>
      </c>
      <c r="C12" s="5"/>
      <c r="D12" s="10"/>
      <c r="E12" s="7">
        <v>11.0</v>
      </c>
      <c r="F12" s="7">
        <v>11.0</v>
      </c>
      <c r="G12" s="7">
        <v>553.0</v>
      </c>
      <c r="H12" s="7"/>
      <c r="I12" s="9"/>
      <c r="J12" s="9"/>
      <c r="K12" s="7">
        <v>0.888044659</v>
      </c>
      <c r="L12" s="7">
        <v>622.7164303</v>
      </c>
      <c r="M12" s="7">
        <v>621.929293</v>
      </c>
      <c r="N12" s="7">
        <v>552.3009869</v>
      </c>
      <c r="O12" s="7">
        <v>0.699013134</v>
      </c>
      <c r="P12" s="7">
        <v>0.488619361</v>
      </c>
      <c r="S12" s="5"/>
      <c r="T12" s="5"/>
      <c r="U12" s="5"/>
      <c r="V12" s="5"/>
      <c r="W12" s="5"/>
      <c r="X12" s="5"/>
      <c r="Y12" s="5"/>
    </row>
    <row r="13">
      <c r="A13" s="12">
        <v>22981.0</v>
      </c>
      <c r="B13" s="7">
        <v>582.0</v>
      </c>
      <c r="C13" s="5"/>
      <c r="D13" s="13"/>
      <c r="E13" s="7">
        <v>12.0</v>
      </c>
      <c r="F13" s="7">
        <v>12.0</v>
      </c>
      <c r="G13" s="7">
        <v>582.0</v>
      </c>
      <c r="H13" s="7"/>
      <c r="I13" s="9"/>
      <c r="J13" s="9"/>
      <c r="K13" s="7">
        <v>0.939475723</v>
      </c>
      <c r="L13" s="7">
        <v>619.4944541</v>
      </c>
      <c r="M13" s="7">
        <v>623.6066032</v>
      </c>
      <c r="N13" s="7">
        <v>585.8632642</v>
      </c>
      <c r="O13" s="7">
        <v>-3.863264196</v>
      </c>
      <c r="P13" s="7">
        <v>14.92481025</v>
      </c>
      <c r="S13" s="5"/>
      <c r="T13" s="5"/>
      <c r="U13" s="5"/>
      <c r="V13" s="5"/>
      <c r="W13" s="5"/>
      <c r="X13" s="5"/>
      <c r="Y13" s="5"/>
    </row>
    <row r="14">
      <c r="A14" s="14">
        <v>23012.0</v>
      </c>
      <c r="B14" s="15">
        <v>600.0</v>
      </c>
      <c r="C14" s="5"/>
      <c r="D14" s="16">
        <v>1963.0</v>
      </c>
      <c r="E14" s="15">
        <v>1.0</v>
      </c>
      <c r="F14" s="15">
        <v>13.0</v>
      </c>
      <c r="G14" s="15">
        <v>600.0</v>
      </c>
      <c r="H14" s="15">
        <f t="shared" ref="H14:H50" si="1">average(G2:G13)</f>
        <v>615.75</v>
      </c>
      <c r="I14" s="15">
        <f t="shared" ref="I14:I49" si="2">average(H14:H15)</f>
        <v>616.2083333</v>
      </c>
      <c r="J14" s="15">
        <f t="shared" ref="J14:J49" si="3">G14/I14</f>
        <v>0.9736966664</v>
      </c>
      <c r="K14" s="15">
        <v>0.974734522</v>
      </c>
      <c r="L14" s="15">
        <v>615.5522214</v>
      </c>
      <c r="M14" s="15">
        <v>625.2839134</v>
      </c>
      <c r="N14" s="15">
        <v>609.4858162</v>
      </c>
      <c r="O14" s="15">
        <v>-9.485816167</v>
      </c>
      <c r="P14" s="15">
        <v>89.98070835</v>
      </c>
      <c r="S14" s="5"/>
      <c r="T14" s="5"/>
      <c r="U14" s="5"/>
      <c r="V14" s="5"/>
      <c r="W14" s="5"/>
      <c r="X14" s="5"/>
      <c r="Y14" s="5"/>
    </row>
    <row r="15">
      <c r="A15" s="14">
        <v>23043.0</v>
      </c>
      <c r="B15" s="15">
        <v>566.0</v>
      </c>
      <c r="C15" s="5"/>
      <c r="D15" s="10"/>
      <c r="E15" s="15">
        <v>2.0</v>
      </c>
      <c r="F15" s="15">
        <v>14.0</v>
      </c>
      <c r="G15" s="15">
        <v>566.0</v>
      </c>
      <c r="H15" s="15">
        <f t="shared" si="1"/>
        <v>616.6666667</v>
      </c>
      <c r="I15" s="15">
        <f t="shared" si="2"/>
        <v>616.875</v>
      </c>
      <c r="J15" s="15">
        <f t="shared" si="3"/>
        <v>0.9175278622</v>
      </c>
      <c r="K15" s="15">
        <v>0.930783989</v>
      </c>
      <c r="L15" s="15">
        <v>608.0895316</v>
      </c>
      <c r="M15" s="15">
        <v>626.9612236</v>
      </c>
      <c r="N15" s="15">
        <v>583.5654687</v>
      </c>
      <c r="O15" s="15">
        <v>-17.56546872</v>
      </c>
      <c r="P15" s="15">
        <v>308.5456914</v>
      </c>
      <c r="S15" s="5"/>
      <c r="T15" s="5"/>
      <c r="U15" s="5"/>
      <c r="V15" s="5"/>
      <c r="W15" s="5"/>
      <c r="X15" s="5"/>
      <c r="Y15" s="5"/>
    </row>
    <row r="16">
      <c r="A16" s="14">
        <v>23071.0</v>
      </c>
      <c r="B16" s="15">
        <v>653.0</v>
      </c>
      <c r="C16" s="5"/>
      <c r="D16" s="10"/>
      <c r="E16" s="15">
        <v>3.0</v>
      </c>
      <c r="F16" s="15">
        <v>15.0</v>
      </c>
      <c r="G16" s="15">
        <v>653.0</v>
      </c>
      <c r="H16" s="15">
        <f t="shared" si="1"/>
        <v>617.0833333</v>
      </c>
      <c r="I16" s="15">
        <f t="shared" si="2"/>
        <v>617.625</v>
      </c>
      <c r="J16" s="15">
        <f t="shared" si="3"/>
        <v>1.057275855</v>
      </c>
      <c r="K16" s="15">
        <v>1.053630082</v>
      </c>
      <c r="L16" s="15">
        <v>619.7621073</v>
      </c>
      <c r="M16" s="15">
        <v>628.6385338</v>
      </c>
      <c r="N16" s="15">
        <v>662.35247</v>
      </c>
      <c r="O16" s="15">
        <v>-9.352469974</v>
      </c>
      <c r="P16" s="15">
        <v>87.46869462</v>
      </c>
      <c r="S16" s="5"/>
      <c r="T16" s="5"/>
      <c r="U16" s="5"/>
      <c r="V16" s="5"/>
      <c r="W16" s="5"/>
      <c r="X16" s="5"/>
      <c r="Y16" s="5"/>
    </row>
    <row r="17">
      <c r="A17" s="14">
        <v>23102.0</v>
      </c>
      <c r="B17" s="15">
        <v>673.0</v>
      </c>
      <c r="C17" s="5"/>
      <c r="D17" s="10"/>
      <c r="E17" s="15">
        <v>4.0</v>
      </c>
      <c r="F17" s="15">
        <v>16.0</v>
      </c>
      <c r="G17" s="15">
        <v>673.0</v>
      </c>
      <c r="H17" s="15">
        <f t="shared" si="1"/>
        <v>618.1666667</v>
      </c>
      <c r="I17" s="15">
        <f t="shared" si="2"/>
        <v>618.875</v>
      </c>
      <c r="J17" s="15">
        <f t="shared" si="3"/>
        <v>1.087457079</v>
      </c>
      <c r="K17" s="15">
        <v>1.076320068</v>
      </c>
      <c r="L17" s="15">
        <v>625.2786883</v>
      </c>
      <c r="M17" s="15">
        <v>630.315844</v>
      </c>
      <c r="N17" s="15">
        <v>678.4215918</v>
      </c>
      <c r="O17" s="15">
        <v>-5.421591795</v>
      </c>
      <c r="P17" s="15">
        <v>29.3936576</v>
      </c>
      <c r="S17" s="5"/>
      <c r="T17" s="5"/>
      <c r="U17" s="5"/>
      <c r="V17" s="5"/>
      <c r="W17" s="5"/>
      <c r="X17" s="5"/>
      <c r="Y17" s="5"/>
    </row>
    <row r="18">
      <c r="A18" s="14">
        <v>23132.0</v>
      </c>
      <c r="B18" s="15">
        <v>742.0</v>
      </c>
      <c r="C18" s="5"/>
      <c r="D18" s="10"/>
      <c r="E18" s="15">
        <v>5.0</v>
      </c>
      <c r="F18" s="15">
        <v>17.0</v>
      </c>
      <c r="G18" s="15">
        <v>742.0</v>
      </c>
      <c r="H18" s="15">
        <f t="shared" si="1"/>
        <v>619.5833333</v>
      </c>
      <c r="I18" s="15">
        <f t="shared" si="2"/>
        <v>620.2083333</v>
      </c>
      <c r="J18" s="15">
        <f t="shared" si="3"/>
        <v>1.196372187</v>
      </c>
      <c r="K18" s="15">
        <v>1.172911398</v>
      </c>
      <c r="L18" s="15">
        <v>632.6138541</v>
      </c>
      <c r="M18" s="15">
        <v>631.9931542</v>
      </c>
      <c r="N18" s="15">
        <v>741.271974</v>
      </c>
      <c r="O18" s="15">
        <v>0.728025956</v>
      </c>
      <c r="P18" s="15">
        <v>0.530021793</v>
      </c>
      <c r="S18" s="5"/>
      <c r="T18" s="5"/>
      <c r="U18" s="5"/>
      <c r="V18" s="5"/>
      <c r="W18" s="5"/>
      <c r="X18" s="5"/>
      <c r="Y18" s="5"/>
    </row>
    <row r="19">
      <c r="A19" s="14">
        <v>23163.0</v>
      </c>
      <c r="B19" s="15">
        <v>716.0</v>
      </c>
      <c r="C19" s="5"/>
      <c r="D19" s="10"/>
      <c r="E19" s="15">
        <v>6.0</v>
      </c>
      <c r="F19" s="15">
        <v>18.0</v>
      </c>
      <c r="G19" s="15">
        <v>716.0</v>
      </c>
      <c r="H19" s="15">
        <f t="shared" si="1"/>
        <v>620.8333333</v>
      </c>
      <c r="I19" s="15">
        <f t="shared" si="2"/>
        <v>621.625</v>
      </c>
      <c r="J19" s="15">
        <f t="shared" si="3"/>
        <v>1.151819827</v>
      </c>
      <c r="K19" s="15">
        <v>1.126142243</v>
      </c>
      <c r="L19" s="15">
        <v>635.7989008</v>
      </c>
      <c r="M19" s="15">
        <v>633.6704644</v>
      </c>
      <c r="N19" s="15">
        <v>713.6030778</v>
      </c>
      <c r="O19" s="15">
        <v>2.396922159</v>
      </c>
      <c r="P19" s="15">
        <v>5.745235834</v>
      </c>
      <c r="S19" s="5"/>
      <c r="T19" s="5"/>
      <c r="U19" s="5"/>
      <c r="V19" s="5"/>
      <c r="W19" s="5"/>
      <c r="X19" s="5"/>
      <c r="Y19" s="5"/>
    </row>
    <row r="20">
      <c r="A20" s="14">
        <v>23193.0</v>
      </c>
      <c r="B20" s="15">
        <v>660.0</v>
      </c>
      <c r="C20" s="5"/>
      <c r="D20" s="10"/>
      <c r="E20" s="15">
        <v>7.0</v>
      </c>
      <c r="F20" s="15">
        <v>19.0</v>
      </c>
      <c r="G20" s="15">
        <v>660.0</v>
      </c>
      <c r="H20" s="15">
        <f t="shared" si="1"/>
        <v>622.4166667</v>
      </c>
      <c r="I20" s="15">
        <f t="shared" si="2"/>
        <v>623.25</v>
      </c>
      <c r="J20" s="15">
        <f t="shared" si="3"/>
        <v>1.058965102</v>
      </c>
      <c r="K20" s="15">
        <v>1.037666718</v>
      </c>
      <c r="L20" s="15">
        <v>636.0423713</v>
      </c>
      <c r="M20" s="15">
        <v>635.3477746</v>
      </c>
      <c r="N20" s="15">
        <v>659.2792401</v>
      </c>
      <c r="O20" s="15">
        <v>0.720759926</v>
      </c>
      <c r="P20" s="15">
        <v>0.519494871</v>
      </c>
      <c r="S20" s="5"/>
      <c r="T20" s="5"/>
      <c r="U20" s="5"/>
      <c r="V20" s="5"/>
      <c r="W20" s="5"/>
      <c r="X20" s="5"/>
      <c r="Y20" s="5"/>
    </row>
    <row r="21">
      <c r="A21" s="14">
        <v>23224.0</v>
      </c>
      <c r="B21" s="15">
        <v>617.0</v>
      </c>
      <c r="C21" s="5"/>
      <c r="D21" s="10"/>
      <c r="E21" s="15">
        <v>8.0</v>
      </c>
      <c r="F21" s="15">
        <v>20.0</v>
      </c>
      <c r="G21" s="15">
        <v>617.0</v>
      </c>
      <c r="H21" s="15">
        <f t="shared" si="1"/>
        <v>624.0833333</v>
      </c>
      <c r="I21" s="15">
        <f t="shared" si="2"/>
        <v>624.8333333</v>
      </c>
      <c r="J21" s="15">
        <f t="shared" si="3"/>
        <v>0.9874633236</v>
      </c>
      <c r="K21" s="15">
        <v>0.968666731</v>
      </c>
      <c r="L21" s="15">
        <v>636.9579757</v>
      </c>
      <c r="M21" s="15">
        <v>637.0250848</v>
      </c>
      <c r="N21" s="15">
        <v>617.0650064</v>
      </c>
      <c r="O21" s="15">
        <v>-0.06500639</v>
      </c>
      <c r="P21" s="15">
        <v>0.004225831</v>
      </c>
      <c r="S21" s="5"/>
      <c r="T21" s="5"/>
      <c r="U21" s="5"/>
      <c r="V21" s="5"/>
      <c r="W21" s="5"/>
      <c r="X21" s="5"/>
      <c r="Y21" s="5"/>
    </row>
    <row r="22">
      <c r="A22" s="14">
        <v>23255.0</v>
      </c>
      <c r="B22" s="15">
        <v>583.0</v>
      </c>
      <c r="C22" s="5"/>
      <c r="D22" s="10"/>
      <c r="E22" s="15">
        <v>9.0</v>
      </c>
      <c r="F22" s="15">
        <v>21.0</v>
      </c>
      <c r="G22" s="15">
        <v>583.0</v>
      </c>
      <c r="H22" s="15">
        <f t="shared" si="1"/>
        <v>625.5833333</v>
      </c>
      <c r="I22" s="15">
        <f t="shared" si="2"/>
        <v>626.2083333</v>
      </c>
      <c r="J22" s="15">
        <f t="shared" si="3"/>
        <v>0.9310000665</v>
      </c>
      <c r="K22" s="15">
        <v>0.912421843</v>
      </c>
      <c r="L22" s="15">
        <v>638.9588372</v>
      </c>
      <c r="M22" s="15">
        <v>638.702395</v>
      </c>
      <c r="N22" s="15">
        <v>582.7660165</v>
      </c>
      <c r="O22" s="15">
        <v>0.233983501</v>
      </c>
      <c r="P22" s="15">
        <v>0.054748279</v>
      </c>
      <c r="S22" s="5"/>
      <c r="T22" s="5"/>
      <c r="U22" s="5"/>
      <c r="V22" s="5"/>
      <c r="W22" s="5"/>
      <c r="X22" s="5"/>
      <c r="Y22" s="5"/>
    </row>
    <row r="23">
      <c r="A23" s="17">
        <v>23285.0</v>
      </c>
      <c r="B23" s="15">
        <v>587.0</v>
      </c>
      <c r="C23" s="5"/>
      <c r="D23" s="10"/>
      <c r="E23" s="15">
        <v>10.0</v>
      </c>
      <c r="F23" s="15">
        <v>22.0</v>
      </c>
      <c r="G23" s="15">
        <v>587.0</v>
      </c>
      <c r="H23" s="15">
        <f t="shared" si="1"/>
        <v>626.8333333</v>
      </c>
      <c r="I23" s="15">
        <f t="shared" si="2"/>
        <v>627.25</v>
      </c>
      <c r="J23" s="15">
        <f t="shared" si="3"/>
        <v>0.9358310084</v>
      </c>
      <c r="K23" s="15">
        <v>0.919202025</v>
      </c>
      <c r="L23" s="15">
        <v>638.5973746</v>
      </c>
      <c r="M23" s="15">
        <v>640.3797052</v>
      </c>
      <c r="N23" s="15">
        <v>588.6383219</v>
      </c>
      <c r="O23" s="15">
        <v>-1.638321897</v>
      </c>
      <c r="P23" s="15">
        <v>2.684098637</v>
      </c>
      <c r="S23" s="5"/>
      <c r="T23" s="5"/>
      <c r="U23" s="5"/>
      <c r="V23" s="5"/>
      <c r="W23" s="5"/>
      <c r="X23" s="5"/>
      <c r="Y23" s="5"/>
    </row>
    <row r="24">
      <c r="A24" s="17">
        <v>23316.0</v>
      </c>
      <c r="B24" s="15">
        <v>565.0</v>
      </c>
      <c r="C24" s="5"/>
      <c r="D24" s="10"/>
      <c r="E24" s="15">
        <v>11.0</v>
      </c>
      <c r="F24" s="15">
        <v>23.0</v>
      </c>
      <c r="G24" s="15">
        <v>565.0</v>
      </c>
      <c r="H24" s="15">
        <f t="shared" si="1"/>
        <v>627.6666667</v>
      </c>
      <c r="I24" s="15">
        <f t="shared" si="2"/>
        <v>628.1666667</v>
      </c>
      <c r="J24" s="15">
        <f t="shared" si="3"/>
        <v>0.899442823</v>
      </c>
      <c r="K24" s="15">
        <v>0.888044659</v>
      </c>
      <c r="L24" s="15">
        <v>636.2292643</v>
      </c>
      <c r="M24" s="15">
        <v>642.0570154</v>
      </c>
      <c r="N24" s="15">
        <v>570.1753033</v>
      </c>
      <c r="O24" s="15">
        <v>-5.175303256</v>
      </c>
      <c r="P24" s="15">
        <v>26.78376379</v>
      </c>
      <c r="S24" s="5"/>
      <c r="T24" s="5"/>
      <c r="U24" s="5"/>
      <c r="V24" s="5"/>
      <c r="W24" s="5"/>
      <c r="X24" s="5"/>
      <c r="Y24" s="5"/>
    </row>
    <row r="25">
      <c r="A25" s="17">
        <v>23346.0</v>
      </c>
      <c r="B25" s="15">
        <v>598.0</v>
      </c>
      <c r="C25" s="5"/>
      <c r="D25" s="13"/>
      <c r="E25" s="15">
        <v>12.0</v>
      </c>
      <c r="F25" s="15">
        <v>24.0</v>
      </c>
      <c r="G25" s="15">
        <v>598.0</v>
      </c>
      <c r="H25" s="15">
        <f t="shared" si="1"/>
        <v>628.6666667</v>
      </c>
      <c r="I25" s="15">
        <f t="shared" si="2"/>
        <v>629.3333333</v>
      </c>
      <c r="J25" s="15">
        <f t="shared" si="3"/>
        <v>0.9502118644</v>
      </c>
      <c r="K25" s="15">
        <v>0.939475723</v>
      </c>
      <c r="L25" s="15">
        <v>636.5252295</v>
      </c>
      <c r="M25" s="15">
        <v>643.7343256</v>
      </c>
      <c r="N25" s="15">
        <v>604.7727708</v>
      </c>
      <c r="O25" s="15">
        <v>-6.772770761</v>
      </c>
      <c r="P25" s="15">
        <v>45.87042378</v>
      </c>
      <c r="S25" s="5"/>
      <c r="T25" s="5"/>
      <c r="U25" s="5"/>
      <c r="V25" s="5"/>
      <c r="W25" s="5"/>
      <c r="X25" s="5"/>
      <c r="Y25" s="5"/>
    </row>
    <row r="26">
      <c r="A26" s="18">
        <v>23377.0</v>
      </c>
      <c r="B26" s="19">
        <v>628.0</v>
      </c>
      <c r="C26" s="5"/>
      <c r="D26" s="20">
        <v>1964.0</v>
      </c>
      <c r="E26" s="19">
        <v>1.0</v>
      </c>
      <c r="F26" s="19">
        <v>25.0</v>
      </c>
      <c r="G26" s="19">
        <v>628.0</v>
      </c>
      <c r="H26" s="19">
        <f t="shared" si="1"/>
        <v>630</v>
      </c>
      <c r="I26" s="19">
        <f t="shared" si="2"/>
        <v>631.1666667</v>
      </c>
      <c r="J26" s="19">
        <f t="shared" si="3"/>
        <v>0.994982836</v>
      </c>
      <c r="K26" s="19">
        <v>0.974734522</v>
      </c>
      <c r="L26" s="19">
        <v>644.2779917</v>
      </c>
      <c r="M26" s="19">
        <v>645.4116358</v>
      </c>
      <c r="N26" s="19">
        <v>629.105002</v>
      </c>
      <c r="O26" s="19">
        <v>-1.105002049</v>
      </c>
      <c r="P26" s="19">
        <v>1.221029527</v>
      </c>
      <c r="S26" s="5"/>
      <c r="T26" s="5"/>
      <c r="U26" s="5"/>
      <c r="V26" s="5"/>
      <c r="W26" s="5"/>
      <c r="X26" s="5"/>
      <c r="Y26" s="5"/>
    </row>
    <row r="27">
      <c r="A27" s="18">
        <v>23408.0</v>
      </c>
      <c r="B27" s="19">
        <v>618.0</v>
      </c>
      <c r="C27" s="5"/>
      <c r="D27" s="10"/>
      <c r="E27" s="19">
        <v>2.0</v>
      </c>
      <c r="F27" s="19">
        <v>26.0</v>
      </c>
      <c r="G27" s="19">
        <v>618.0</v>
      </c>
      <c r="H27" s="19">
        <f t="shared" si="1"/>
        <v>632.3333333</v>
      </c>
      <c r="I27" s="19">
        <f t="shared" si="2"/>
        <v>634.5</v>
      </c>
      <c r="J27" s="19">
        <f t="shared" si="3"/>
        <v>0.9739952719</v>
      </c>
      <c r="K27" s="19">
        <v>0.930783989</v>
      </c>
      <c r="L27" s="19">
        <v>663.9564144</v>
      </c>
      <c r="M27" s="19">
        <v>647.088946</v>
      </c>
      <c r="N27" s="19">
        <v>602.3000305</v>
      </c>
      <c r="O27" s="19">
        <v>15.69996951</v>
      </c>
      <c r="P27" s="19">
        <v>246.4890427</v>
      </c>
      <c r="S27" s="5"/>
      <c r="T27" s="5"/>
      <c r="U27" s="5"/>
      <c r="V27" s="5"/>
      <c r="W27" s="5"/>
      <c r="X27" s="5"/>
      <c r="Y27" s="5"/>
    </row>
    <row r="28">
      <c r="A28" s="18">
        <v>23437.0</v>
      </c>
      <c r="B28" s="19">
        <v>688.0</v>
      </c>
      <c r="C28" s="5"/>
      <c r="D28" s="10"/>
      <c r="E28" s="19">
        <v>3.0</v>
      </c>
      <c r="F28" s="19">
        <v>27.0</v>
      </c>
      <c r="G28" s="19">
        <v>688.0</v>
      </c>
      <c r="H28" s="19">
        <f t="shared" si="1"/>
        <v>636.6666667</v>
      </c>
      <c r="I28" s="19">
        <f t="shared" si="2"/>
        <v>638.125</v>
      </c>
      <c r="J28" s="19">
        <f t="shared" si="3"/>
        <v>1.078158668</v>
      </c>
      <c r="K28" s="19">
        <v>1.053630082</v>
      </c>
      <c r="L28" s="19">
        <v>652.980597</v>
      </c>
      <c r="M28" s="19">
        <v>648.7662562</v>
      </c>
      <c r="N28" s="19">
        <v>683.5596438</v>
      </c>
      <c r="O28" s="19">
        <v>4.440356202</v>
      </c>
      <c r="P28" s="19">
        <v>19.7167632</v>
      </c>
      <c r="S28" s="5"/>
      <c r="T28" s="5"/>
      <c r="U28" s="5"/>
      <c r="V28" s="5"/>
      <c r="W28" s="5"/>
      <c r="X28" s="5"/>
      <c r="Y28" s="5"/>
    </row>
    <row r="29">
      <c r="A29" s="18">
        <v>23468.0</v>
      </c>
      <c r="B29" s="19">
        <v>705.0</v>
      </c>
      <c r="C29" s="5"/>
      <c r="D29" s="10"/>
      <c r="E29" s="19">
        <v>4.0</v>
      </c>
      <c r="F29" s="19">
        <v>28.0</v>
      </c>
      <c r="G29" s="19">
        <v>705.0</v>
      </c>
      <c r="H29" s="19">
        <f t="shared" si="1"/>
        <v>639.5833333</v>
      </c>
      <c r="I29" s="19">
        <f t="shared" si="2"/>
        <v>640.9166667</v>
      </c>
      <c r="J29" s="19">
        <f t="shared" si="3"/>
        <v>1.099986998</v>
      </c>
      <c r="K29" s="19">
        <v>1.076320068</v>
      </c>
      <c r="L29" s="19">
        <v>655.0096214</v>
      </c>
      <c r="M29" s="19">
        <v>650.4435664</v>
      </c>
      <c r="N29" s="19">
        <v>700.0854633</v>
      </c>
      <c r="O29" s="19">
        <v>4.914536651</v>
      </c>
      <c r="P29" s="19">
        <v>24.1526705</v>
      </c>
      <c r="S29" s="5"/>
      <c r="T29" s="5"/>
      <c r="U29" s="5"/>
      <c r="V29" s="5"/>
      <c r="W29" s="5"/>
      <c r="X29" s="5"/>
      <c r="Y29" s="5"/>
    </row>
    <row r="30">
      <c r="A30" s="18">
        <v>23498.0</v>
      </c>
      <c r="B30" s="19">
        <v>770.0</v>
      </c>
      <c r="C30" s="5"/>
      <c r="D30" s="10"/>
      <c r="E30" s="19">
        <v>5.0</v>
      </c>
      <c r="F30" s="19">
        <v>29.0</v>
      </c>
      <c r="G30" s="19">
        <v>770.0</v>
      </c>
      <c r="H30" s="19">
        <f t="shared" si="1"/>
        <v>642.25</v>
      </c>
      <c r="I30" s="19">
        <f t="shared" si="2"/>
        <v>643.4166667</v>
      </c>
      <c r="J30" s="19">
        <f t="shared" si="3"/>
        <v>1.196736174</v>
      </c>
      <c r="K30" s="19">
        <v>1.172911398</v>
      </c>
      <c r="L30" s="19">
        <v>656.486075</v>
      </c>
      <c r="M30" s="19">
        <v>652.1208766</v>
      </c>
      <c r="N30" s="19">
        <v>764.8800091</v>
      </c>
      <c r="O30" s="19">
        <v>5.119990915</v>
      </c>
      <c r="P30" s="19">
        <v>26.21430697</v>
      </c>
      <c r="S30" s="5"/>
      <c r="T30" s="5"/>
      <c r="U30" s="5"/>
      <c r="V30" s="5"/>
      <c r="W30" s="5"/>
      <c r="X30" s="5"/>
      <c r="Y30" s="5"/>
    </row>
    <row r="31">
      <c r="A31" s="18">
        <v>23529.0</v>
      </c>
      <c r="B31" s="19">
        <v>736.0</v>
      </c>
      <c r="C31" s="5"/>
      <c r="D31" s="10"/>
      <c r="E31" s="19">
        <v>6.0</v>
      </c>
      <c r="F31" s="19">
        <v>30.0</v>
      </c>
      <c r="G31" s="19">
        <v>736.0</v>
      </c>
      <c r="H31" s="19">
        <f t="shared" si="1"/>
        <v>644.5833333</v>
      </c>
      <c r="I31" s="19">
        <f t="shared" si="2"/>
        <v>645.4166667</v>
      </c>
      <c r="J31" s="19">
        <f t="shared" si="3"/>
        <v>1.140348612</v>
      </c>
      <c r="K31" s="19">
        <v>1.126142243</v>
      </c>
      <c r="L31" s="19">
        <v>653.5586466</v>
      </c>
      <c r="M31" s="19">
        <v>653.7981868</v>
      </c>
      <c r="N31" s="19">
        <v>736.2697563</v>
      </c>
      <c r="O31" s="19">
        <v>-0.269756304</v>
      </c>
      <c r="P31" s="19">
        <v>0.072768463</v>
      </c>
      <c r="S31" s="5"/>
      <c r="T31" s="5"/>
      <c r="U31" s="5"/>
      <c r="V31" s="5"/>
      <c r="W31" s="5"/>
      <c r="X31" s="5"/>
      <c r="Y31" s="5"/>
    </row>
    <row r="32">
      <c r="A32" s="18">
        <v>23559.0</v>
      </c>
      <c r="B32" s="19">
        <v>678.0</v>
      </c>
      <c r="C32" s="5"/>
      <c r="D32" s="10"/>
      <c r="E32" s="19">
        <v>7.0</v>
      </c>
      <c r="F32" s="19">
        <v>31.0</v>
      </c>
      <c r="G32" s="19">
        <v>678.0</v>
      </c>
      <c r="H32" s="19">
        <f t="shared" si="1"/>
        <v>646.25</v>
      </c>
      <c r="I32" s="19">
        <f t="shared" si="2"/>
        <v>647</v>
      </c>
      <c r="J32" s="19">
        <f t="shared" si="3"/>
        <v>1.047913447</v>
      </c>
      <c r="K32" s="19">
        <v>1.037666718</v>
      </c>
      <c r="L32" s="19">
        <v>653.3889815</v>
      </c>
      <c r="M32" s="19">
        <v>655.475497</v>
      </c>
      <c r="N32" s="19">
        <v>680.1651077</v>
      </c>
      <c r="O32" s="19">
        <v>-2.165107737</v>
      </c>
      <c r="P32" s="19">
        <v>4.687691512</v>
      </c>
      <c r="S32" s="5"/>
      <c r="T32" s="5"/>
      <c r="U32" s="5"/>
      <c r="V32" s="5"/>
      <c r="W32" s="5"/>
      <c r="X32" s="5"/>
      <c r="Y32" s="5"/>
    </row>
    <row r="33">
      <c r="A33" s="18">
        <v>23590.0</v>
      </c>
      <c r="B33" s="19">
        <v>639.0</v>
      </c>
      <c r="C33" s="5"/>
      <c r="D33" s="10"/>
      <c r="E33" s="19">
        <v>8.0</v>
      </c>
      <c r="F33" s="19">
        <v>32.0</v>
      </c>
      <c r="G33" s="19">
        <v>639.0</v>
      </c>
      <c r="H33" s="19">
        <f t="shared" si="1"/>
        <v>647.75</v>
      </c>
      <c r="I33" s="19">
        <f t="shared" si="2"/>
        <v>648.6666667</v>
      </c>
      <c r="J33" s="19">
        <f t="shared" si="3"/>
        <v>0.9850976362</v>
      </c>
      <c r="K33" s="19">
        <v>0.968666731</v>
      </c>
      <c r="L33" s="19">
        <v>659.6696053</v>
      </c>
      <c r="M33" s="19">
        <v>657.1528072</v>
      </c>
      <c r="N33" s="19">
        <v>636.5620615</v>
      </c>
      <c r="O33" s="19">
        <v>2.437938534</v>
      </c>
      <c r="P33" s="19">
        <v>5.943544298</v>
      </c>
      <c r="S33" s="5"/>
      <c r="T33" s="5"/>
      <c r="U33" s="5"/>
      <c r="V33" s="5"/>
      <c r="W33" s="5"/>
      <c r="X33" s="5"/>
      <c r="Y33" s="5"/>
    </row>
    <row r="34">
      <c r="A34" s="18">
        <v>23621.0</v>
      </c>
      <c r="B34" s="19">
        <v>604.0</v>
      </c>
      <c r="C34" s="5"/>
      <c r="D34" s="10"/>
      <c r="E34" s="19">
        <v>9.0</v>
      </c>
      <c r="F34" s="19">
        <v>33.0</v>
      </c>
      <c r="G34" s="19">
        <v>604.0</v>
      </c>
      <c r="H34" s="19">
        <f t="shared" si="1"/>
        <v>649.5833333</v>
      </c>
      <c r="I34" s="19">
        <f t="shared" si="2"/>
        <v>650.4583333</v>
      </c>
      <c r="J34" s="19">
        <f t="shared" si="3"/>
        <v>0.9285760041</v>
      </c>
      <c r="K34" s="19">
        <v>0.912421843</v>
      </c>
      <c r="L34" s="19">
        <v>661.9745072</v>
      </c>
      <c r="M34" s="19">
        <v>658.8301174</v>
      </c>
      <c r="N34" s="19">
        <v>601.1309901</v>
      </c>
      <c r="O34" s="19">
        <v>2.869009913</v>
      </c>
      <c r="P34" s="19">
        <v>8.23121788</v>
      </c>
      <c r="S34" s="5"/>
      <c r="T34" s="5"/>
      <c r="U34" s="5"/>
      <c r="V34" s="5"/>
      <c r="W34" s="5"/>
      <c r="X34" s="5"/>
      <c r="Y34" s="5"/>
    </row>
    <row r="35">
      <c r="A35" s="21">
        <v>23651.0</v>
      </c>
      <c r="B35" s="19">
        <v>611.0</v>
      </c>
      <c r="C35" s="5"/>
      <c r="D35" s="10"/>
      <c r="E35" s="19">
        <v>10.0</v>
      </c>
      <c r="F35" s="19">
        <v>34.0</v>
      </c>
      <c r="G35" s="19">
        <v>611.0</v>
      </c>
      <c r="H35" s="19">
        <f t="shared" si="1"/>
        <v>651.3333333</v>
      </c>
      <c r="I35" s="19">
        <f t="shared" si="2"/>
        <v>652.3333333</v>
      </c>
      <c r="J35" s="19">
        <f t="shared" si="3"/>
        <v>0.9366377108</v>
      </c>
      <c r="K35" s="19">
        <v>0.919202025</v>
      </c>
      <c r="L35" s="19">
        <v>664.7069776</v>
      </c>
      <c r="M35" s="19">
        <v>660.5074276</v>
      </c>
      <c r="N35" s="19">
        <v>607.1397651</v>
      </c>
      <c r="O35" s="19">
        <v>3.860234895</v>
      </c>
      <c r="P35" s="19">
        <v>14.90141344</v>
      </c>
      <c r="S35" s="5"/>
      <c r="T35" s="5"/>
      <c r="U35" s="5"/>
      <c r="V35" s="5"/>
      <c r="W35" s="5"/>
      <c r="X35" s="5"/>
      <c r="Y35" s="5"/>
    </row>
    <row r="36">
      <c r="A36" s="21">
        <v>23682.0</v>
      </c>
      <c r="B36" s="19">
        <v>594.0</v>
      </c>
      <c r="C36" s="5"/>
      <c r="D36" s="10"/>
      <c r="E36" s="19">
        <v>11.0</v>
      </c>
      <c r="F36" s="19">
        <v>35.0</v>
      </c>
      <c r="G36" s="19">
        <v>594.0</v>
      </c>
      <c r="H36" s="19">
        <f t="shared" si="1"/>
        <v>653.3333333</v>
      </c>
      <c r="I36" s="19">
        <f t="shared" si="2"/>
        <v>654.5416667</v>
      </c>
      <c r="J36" s="19">
        <f t="shared" si="3"/>
        <v>0.9075052518</v>
      </c>
      <c r="K36" s="19">
        <v>0.888044659</v>
      </c>
      <c r="L36" s="19">
        <v>668.8852796</v>
      </c>
      <c r="M36" s="19">
        <v>662.1847378</v>
      </c>
      <c r="N36" s="19">
        <v>588.0496196</v>
      </c>
      <c r="O36" s="19">
        <v>5.950380354</v>
      </c>
      <c r="P36" s="19">
        <v>35.40702636</v>
      </c>
      <c r="S36" s="5"/>
      <c r="T36" s="5"/>
      <c r="U36" s="5"/>
      <c r="V36" s="5"/>
      <c r="W36" s="5"/>
      <c r="X36" s="5"/>
      <c r="Y36" s="5"/>
    </row>
    <row r="37">
      <c r="A37" s="21">
        <v>23712.0</v>
      </c>
      <c r="B37" s="19">
        <v>634.0</v>
      </c>
      <c r="C37" s="5"/>
      <c r="D37" s="13"/>
      <c r="E37" s="19">
        <v>12.0</v>
      </c>
      <c r="F37" s="19">
        <v>36.0</v>
      </c>
      <c r="G37" s="19">
        <v>634.0</v>
      </c>
      <c r="H37" s="19">
        <f t="shared" si="1"/>
        <v>655.75</v>
      </c>
      <c r="I37" s="19">
        <f t="shared" si="2"/>
        <v>657.25</v>
      </c>
      <c r="J37" s="19">
        <f t="shared" si="3"/>
        <v>0.9646253328</v>
      </c>
      <c r="K37" s="19">
        <v>0.939475723</v>
      </c>
      <c r="L37" s="19">
        <v>674.8444741</v>
      </c>
      <c r="M37" s="19">
        <v>663.862048</v>
      </c>
      <c r="N37" s="19">
        <v>623.6822773</v>
      </c>
      <c r="O37" s="19">
        <v>10.31772267</v>
      </c>
      <c r="P37" s="19">
        <v>106.4554012</v>
      </c>
      <c r="S37" s="5"/>
      <c r="T37" s="5"/>
      <c r="U37" s="5"/>
      <c r="V37" s="5"/>
      <c r="W37" s="5"/>
      <c r="X37" s="5"/>
      <c r="Y37" s="5"/>
    </row>
    <row r="38">
      <c r="A38" s="22">
        <v>23743.0</v>
      </c>
      <c r="B38" s="23">
        <v>658.0</v>
      </c>
      <c r="C38" s="5"/>
      <c r="D38" s="24">
        <v>1965.0</v>
      </c>
      <c r="E38" s="23">
        <v>1.0</v>
      </c>
      <c r="F38" s="23">
        <v>37.0</v>
      </c>
      <c r="G38" s="23">
        <v>658.0</v>
      </c>
      <c r="H38" s="23">
        <f t="shared" si="1"/>
        <v>658.75</v>
      </c>
      <c r="I38" s="23">
        <f t="shared" si="2"/>
        <v>660</v>
      </c>
      <c r="J38" s="23">
        <f t="shared" si="3"/>
        <v>0.996969697</v>
      </c>
      <c r="K38" s="23">
        <v>0.974734522</v>
      </c>
      <c r="L38" s="23">
        <v>675.0556028</v>
      </c>
      <c r="M38" s="23">
        <v>665.5393582</v>
      </c>
      <c r="N38" s="23">
        <v>648.7241879</v>
      </c>
      <c r="O38" s="23">
        <v>9.27581207</v>
      </c>
      <c r="P38" s="23">
        <v>86.04068955</v>
      </c>
      <c r="S38" s="5"/>
      <c r="T38" s="5"/>
      <c r="U38" s="5"/>
      <c r="V38" s="5"/>
      <c r="W38" s="5"/>
      <c r="X38" s="5"/>
      <c r="Y38" s="5"/>
    </row>
    <row r="39">
      <c r="A39" s="22">
        <v>23774.0</v>
      </c>
      <c r="B39" s="23">
        <v>622.0</v>
      </c>
      <c r="C39" s="5"/>
      <c r="D39" s="10"/>
      <c r="E39" s="23">
        <v>2.0</v>
      </c>
      <c r="F39" s="23">
        <v>38.0</v>
      </c>
      <c r="G39" s="23">
        <v>622.0</v>
      </c>
      <c r="H39" s="23">
        <f t="shared" si="1"/>
        <v>661.25</v>
      </c>
      <c r="I39" s="23">
        <f t="shared" si="2"/>
        <v>661.4166667</v>
      </c>
      <c r="J39" s="23">
        <f t="shared" si="3"/>
        <v>0.9404056948</v>
      </c>
      <c r="K39" s="23">
        <v>0.930783989</v>
      </c>
      <c r="L39" s="23">
        <v>668.2538669</v>
      </c>
      <c r="M39" s="23">
        <v>667.2166684</v>
      </c>
      <c r="N39" s="23">
        <v>621.0345923</v>
      </c>
      <c r="O39" s="23">
        <v>0.965407749</v>
      </c>
      <c r="P39" s="23">
        <v>0.932012121</v>
      </c>
      <c r="S39" s="5"/>
      <c r="T39" s="5"/>
      <c r="U39" s="5"/>
      <c r="V39" s="5"/>
      <c r="W39" s="5"/>
      <c r="X39" s="5"/>
      <c r="Y39" s="5"/>
    </row>
    <row r="40">
      <c r="A40" s="22">
        <v>23802.0</v>
      </c>
      <c r="B40" s="23">
        <v>709.0</v>
      </c>
      <c r="C40" s="5"/>
      <c r="D40" s="10"/>
      <c r="E40" s="23">
        <v>3.0</v>
      </c>
      <c r="F40" s="23">
        <v>39.0</v>
      </c>
      <c r="G40" s="23">
        <v>709.0</v>
      </c>
      <c r="H40" s="23">
        <f t="shared" si="1"/>
        <v>661.5833333</v>
      </c>
      <c r="I40" s="23">
        <f t="shared" si="2"/>
        <v>662.4583333</v>
      </c>
      <c r="J40" s="23">
        <f t="shared" si="3"/>
        <v>1.070255991</v>
      </c>
      <c r="K40" s="23">
        <v>1.053630082</v>
      </c>
      <c r="L40" s="23">
        <v>672.9116908</v>
      </c>
      <c r="M40" s="23">
        <v>668.8939786</v>
      </c>
      <c r="N40" s="23">
        <v>704.7668176</v>
      </c>
      <c r="O40" s="23">
        <v>4.233182377</v>
      </c>
      <c r="P40" s="23">
        <v>17.91983304</v>
      </c>
      <c r="S40" s="5"/>
      <c r="T40" s="5"/>
      <c r="U40" s="5"/>
      <c r="V40" s="5"/>
      <c r="W40" s="5"/>
      <c r="X40" s="5"/>
      <c r="Y40" s="5"/>
    </row>
    <row r="41">
      <c r="A41" s="22">
        <v>23833.0</v>
      </c>
      <c r="B41" s="23">
        <v>722.0</v>
      </c>
      <c r="C41" s="5"/>
      <c r="D41" s="10"/>
      <c r="E41" s="23">
        <v>4.0</v>
      </c>
      <c r="F41" s="23">
        <v>40.0</v>
      </c>
      <c r="G41" s="23">
        <v>722.0</v>
      </c>
      <c r="H41" s="23">
        <f t="shared" si="1"/>
        <v>663.3333333</v>
      </c>
      <c r="I41" s="23">
        <f t="shared" si="2"/>
        <v>664.0416667</v>
      </c>
      <c r="J41" s="23">
        <f t="shared" si="3"/>
        <v>1.08728117</v>
      </c>
      <c r="K41" s="23">
        <v>1.076320068</v>
      </c>
      <c r="L41" s="23">
        <v>670.8041797</v>
      </c>
      <c r="M41" s="23">
        <v>670.5712888</v>
      </c>
      <c r="N41" s="23">
        <v>721.7493349</v>
      </c>
      <c r="O41" s="23">
        <v>0.250665098</v>
      </c>
      <c r="P41" s="23">
        <v>0.062832991</v>
      </c>
      <c r="S41" s="5"/>
      <c r="T41" s="5"/>
      <c r="U41" s="5"/>
      <c r="V41" s="5"/>
      <c r="W41" s="5"/>
      <c r="X41" s="5"/>
      <c r="Y41" s="5"/>
    </row>
    <row r="42">
      <c r="A42" s="22">
        <v>23863.0</v>
      </c>
      <c r="B42" s="23">
        <v>782.0</v>
      </c>
      <c r="C42" s="5"/>
      <c r="D42" s="10"/>
      <c r="E42" s="23">
        <v>5.0</v>
      </c>
      <c r="F42" s="23">
        <v>41.0</v>
      </c>
      <c r="G42" s="23">
        <v>782.0</v>
      </c>
      <c r="H42" s="23">
        <f t="shared" si="1"/>
        <v>664.75</v>
      </c>
      <c r="I42" s="23">
        <f t="shared" si="2"/>
        <v>665.25</v>
      </c>
      <c r="J42" s="23">
        <f t="shared" si="3"/>
        <v>1.175497933</v>
      </c>
      <c r="K42" s="23">
        <v>1.172911398</v>
      </c>
      <c r="L42" s="23">
        <v>666.7170268</v>
      </c>
      <c r="M42" s="23">
        <v>672.248599</v>
      </c>
      <c r="N42" s="23">
        <v>788.4880441</v>
      </c>
      <c r="O42" s="23">
        <v>-6.488044126</v>
      </c>
      <c r="P42" s="23">
        <v>42.09471658</v>
      </c>
      <c r="S42" s="5"/>
      <c r="T42" s="5"/>
      <c r="U42" s="5"/>
      <c r="V42" s="5"/>
      <c r="W42" s="5"/>
      <c r="X42" s="5"/>
      <c r="Y42" s="5"/>
    </row>
    <row r="43">
      <c r="A43" s="22">
        <v>23894.0</v>
      </c>
      <c r="B43" s="23">
        <v>756.0</v>
      </c>
      <c r="C43" s="5"/>
      <c r="D43" s="10"/>
      <c r="E43" s="23">
        <v>6.0</v>
      </c>
      <c r="F43" s="23">
        <v>42.0</v>
      </c>
      <c r="G43" s="23">
        <v>756.0</v>
      </c>
      <c r="H43" s="23">
        <f t="shared" si="1"/>
        <v>665.75</v>
      </c>
      <c r="I43" s="23">
        <f t="shared" si="2"/>
        <v>666.5833333</v>
      </c>
      <c r="J43" s="23">
        <f t="shared" si="3"/>
        <v>1.134141768</v>
      </c>
      <c r="K43" s="23">
        <v>1.126142243</v>
      </c>
      <c r="L43" s="23">
        <v>671.3183925</v>
      </c>
      <c r="M43" s="23">
        <v>673.9259092</v>
      </c>
      <c r="N43" s="23">
        <v>758.9364348</v>
      </c>
      <c r="O43" s="23">
        <v>-2.936434766</v>
      </c>
      <c r="P43" s="23">
        <v>8.622649137</v>
      </c>
      <c r="S43" s="5"/>
      <c r="T43" s="5"/>
      <c r="U43" s="5"/>
      <c r="V43" s="5"/>
      <c r="W43" s="5"/>
      <c r="X43" s="5"/>
      <c r="Y43" s="5"/>
    </row>
    <row r="44">
      <c r="A44" s="22">
        <v>23924.0</v>
      </c>
      <c r="B44" s="23">
        <v>702.0</v>
      </c>
      <c r="C44" s="5"/>
      <c r="D44" s="10"/>
      <c r="E44" s="23">
        <v>7.0</v>
      </c>
      <c r="F44" s="23">
        <v>43.0</v>
      </c>
      <c r="G44" s="23">
        <v>702.0</v>
      </c>
      <c r="H44" s="23">
        <f t="shared" si="1"/>
        <v>667.4166667</v>
      </c>
      <c r="I44" s="23">
        <f t="shared" si="2"/>
        <v>668.4166667</v>
      </c>
      <c r="J44" s="23">
        <f t="shared" si="3"/>
        <v>1.050243112</v>
      </c>
      <c r="K44" s="23">
        <v>1.037666718</v>
      </c>
      <c r="L44" s="23">
        <v>676.517795</v>
      </c>
      <c r="M44" s="23">
        <v>675.6032194</v>
      </c>
      <c r="N44" s="23">
        <v>701.0509754</v>
      </c>
      <c r="O44" s="23">
        <v>0.9490246</v>
      </c>
      <c r="P44" s="23">
        <v>0.900647692</v>
      </c>
      <c r="S44" s="5"/>
      <c r="T44" s="5"/>
      <c r="U44" s="5"/>
      <c r="V44" s="5"/>
      <c r="W44" s="5"/>
      <c r="X44" s="5"/>
      <c r="Y44" s="5"/>
    </row>
    <row r="45">
      <c r="A45" s="22">
        <v>23955.0</v>
      </c>
      <c r="B45" s="23">
        <v>653.0</v>
      </c>
      <c r="C45" s="5"/>
      <c r="D45" s="10"/>
      <c r="E45" s="23">
        <v>8.0</v>
      </c>
      <c r="F45" s="23">
        <v>44.0</v>
      </c>
      <c r="G45" s="23">
        <v>653.0</v>
      </c>
      <c r="H45" s="23">
        <f t="shared" si="1"/>
        <v>669.4166667</v>
      </c>
      <c r="I45" s="23">
        <f t="shared" si="2"/>
        <v>670</v>
      </c>
      <c r="J45" s="23">
        <f t="shared" si="3"/>
        <v>0.9746268657</v>
      </c>
      <c r="K45" s="23">
        <v>0.968666731</v>
      </c>
      <c r="L45" s="23">
        <v>674.1224605</v>
      </c>
      <c r="M45" s="23">
        <v>677.2805296</v>
      </c>
      <c r="N45" s="23">
        <v>656.0591165</v>
      </c>
      <c r="O45" s="23">
        <v>-3.059116541</v>
      </c>
      <c r="P45" s="23">
        <v>9.35819401</v>
      </c>
      <c r="S45" s="5"/>
      <c r="T45" s="5"/>
      <c r="U45" s="5"/>
      <c r="V45" s="5"/>
      <c r="W45" s="5"/>
      <c r="X45" s="5"/>
      <c r="Y45" s="5"/>
    </row>
    <row r="46">
      <c r="A46" s="22">
        <v>23986.0</v>
      </c>
      <c r="B46" s="23">
        <v>615.0</v>
      </c>
      <c r="C46" s="5"/>
      <c r="D46" s="10"/>
      <c r="E46" s="23">
        <v>9.0</v>
      </c>
      <c r="F46" s="23">
        <v>45.0</v>
      </c>
      <c r="G46" s="23">
        <v>615.0</v>
      </c>
      <c r="H46" s="23">
        <f t="shared" si="1"/>
        <v>670.5833333</v>
      </c>
      <c r="I46" s="23">
        <f t="shared" si="2"/>
        <v>671.0416667</v>
      </c>
      <c r="J46" s="23">
        <f t="shared" si="3"/>
        <v>0.9164855635</v>
      </c>
      <c r="K46" s="23">
        <v>0.912421843</v>
      </c>
      <c r="L46" s="23">
        <v>674.0303343</v>
      </c>
      <c r="M46" s="23">
        <v>678.9578398</v>
      </c>
      <c r="N46" s="23">
        <v>619.4959637</v>
      </c>
      <c r="O46" s="23">
        <v>-4.495963675</v>
      </c>
      <c r="P46" s="23">
        <v>20.21368937</v>
      </c>
      <c r="S46" s="5"/>
      <c r="T46" s="5"/>
      <c r="U46" s="5"/>
      <c r="V46" s="5"/>
      <c r="W46" s="5"/>
      <c r="X46" s="5"/>
      <c r="Y46" s="5"/>
    </row>
    <row r="47">
      <c r="A47" s="25">
        <v>24016.0</v>
      </c>
      <c r="B47" s="23">
        <v>621.0</v>
      </c>
      <c r="C47" s="5"/>
      <c r="D47" s="10"/>
      <c r="E47" s="23">
        <v>10.0</v>
      </c>
      <c r="F47" s="23">
        <v>46.0</v>
      </c>
      <c r="G47" s="23">
        <v>621.0</v>
      </c>
      <c r="H47" s="23">
        <f t="shared" si="1"/>
        <v>671.5</v>
      </c>
      <c r="I47" s="23">
        <f t="shared" si="2"/>
        <v>671.9166667</v>
      </c>
      <c r="J47" s="23">
        <f t="shared" si="3"/>
        <v>0.9242217537</v>
      </c>
      <c r="K47" s="23">
        <v>0.919202025</v>
      </c>
      <c r="L47" s="23">
        <v>675.5859789</v>
      </c>
      <c r="M47" s="23">
        <v>680.63515</v>
      </c>
      <c r="N47" s="23">
        <v>625.6412083</v>
      </c>
      <c r="O47" s="23">
        <v>-4.641208314</v>
      </c>
      <c r="P47" s="23">
        <v>21.54081462</v>
      </c>
      <c r="S47" s="5"/>
      <c r="T47" s="5"/>
      <c r="U47" s="5"/>
      <c r="V47" s="5"/>
      <c r="W47" s="5"/>
      <c r="X47" s="5"/>
      <c r="Y47" s="5"/>
    </row>
    <row r="48">
      <c r="A48" s="25">
        <v>24047.0</v>
      </c>
      <c r="B48" s="23">
        <v>602.0</v>
      </c>
      <c r="C48" s="5"/>
      <c r="D48" s="10"/>
      <c r="E48" s="23">
        <v>11.0</v>
      </c>
      <c r="F48" s="23">
        <v>47.0</v>
      </c>
      <c r="G48" s="23">
        <v>602.0</v>
      </c>
      <c r="H48" s="23">
        <f t="shared" si="1"/>
        <v>672.3333333</v>
      </c>
      <c r="I48" s="23">
        <f t="shared" si="2"/>
        <v>672.6666667</v>
      </c>
      <c r="J48" s="23">
        <f t="shared" si="3"/>
        <v>0.8949454906</v>
      </c>
      <c r="K48" s="23">
        <v>0.888044659</v>
      </c>
      <c r="L48" s="23">
        <v>677.8938356</v>
      </c>
      <c r="M48" s="23">
        <v>682.3124602</v>
      </c>
      <c r="N48" s="23">
        <v>605.923936</v>
      </c>
      <c r="O48" s="23">
        <v>-3.923936036</v>
      </c>
      <c r="P48" s="23">
        <v>15.39727401</v>
      </c>
      <c r="Q48" s="26" t="s">
        <v>14</v>
      </c>
      <c r="S48" s="5"/>
      <c r="T48" s="5"/>
      <c r="U48" s="5"/>
      <c r="V48" s="5"/>
      <c r="W48" s="5"/>
      <c r="X48" s="5"/>
      <c r="Y48" s="5"/>
    </row>
    <row r="49">
      <c r="A49" s="25">
        <v>24077.0</v>
      </c>
      <c r="B49" s="23">
        <v>635.0</v>
      </c>
      <c r="C49" s="5"/>
      <c r="D49" s="13"/>
      <c r="E49" s="23">
        <v>12.0</v>
      </c>
      <c r="F49" s="23">
        <v>48.0</v>
      </c>
      <c r="G49" s="23">
        <v>635.0</v>
      </c>
      <c r="H49" s="23">
        <f t="shared" si="1"/>
        <v>673</v>
      </c>
      <c r="I49" s="23">
        <f t="shared" si="2"/>
        <v>673.0416667</v>
      </c>
      <c r="J49" s="23">
        <f t="shared" si="3"/>
        <v>0.9434779917</v>
      </c>
      <c r="K49" s="23">
        <v>0.939475723</v>
      </c>
      <c r="L49" s="23">
        <v>675.9088976</v>
      </c>
      <c r="M49" s="23">
        <v>683.9897704</v>
      </c>
      <c r="N49" s="23">
        <v>642.5917839</v>
      </c>
      <c r="O49" s="23">
        <v>-7.59178389</v>
      </c>
      <c r="P49" s="23">
        <v>57.63518264</v>
      </c>
      <c r="Q49" s="27">
        <f>SUM(P2:P49)</f>
        <v>1593.134575</v>
      </c>
      <c r="S49" s="5"/>
      <c r="T49" s="5"/>
      <c r="U49" s="5"/>
      <c r="V49" s="5"/>
      <c r="W49" s="5"/>
      <c r="X49" s="5"/>
      <c r="Y49" s="5"/>
    </row>
    <row r="50">
      <c r="A50" s="28">
        <v>24108.0</v>
      </c>
      <c r="B50" s="29">
        <v>677.0</v>
      </c>
      <c r="C50" s="5"/>
      <c r="D50" s="30">
        <v>1966.0</v>
      </c>
      <c r="E50" s="4">
        <v>1.0</v>
      </c>
      <c r="F50" s="4">
        <v>37.0</v>
      </c>
      <c r="G50" s="4"/>
      <c r="H50" s="4">
        <f t="shared" si="1"/>
        <v>673.0833333</v>
      </c>
      <c r="I50" s="4"/>
      <c r="J50" s="4"/>
      <c r="K50" s="4">
        <v>0.974734522</v>
      </c>
      <c r="L50" s="4"/>
      <c r="M50" s="4">
        <f>O71+($O$72*F50)</f>
        <v>665.5393583</v>
      </c>
      <c r="N50" s="4">
        <f t="shared" ref="N50:N61" si="4">M50*K50</f>
        <v>648.7241883</v>
      </c>
      <c r="O50" s="4"/>
      <c r="P50" s="4"/>
      <c r="Q50" s="5"/>
      <c r="R50" s="5"/>
      <c r="S50" s="5"/>
      <c r="T50" s="5"/>
      <c r="U50" s="5"/>
      <c r="V50" s="5"/>
      <c r="W50" s="5"/>
      <c r="X50" s="5"/>
      <c r="Y50" s="5"/>
    </row>
    <row r="51">
      <c r="A51" s="28">
        <v>24139.0</v>
      </c>
      <c r="B51" s="29">
        <v>635.0</v>
      </c>
      <c r="C51" s="5"/>
      <c r="D51" s="10"/>
      <c r="E51" s="4">
        <v>2.0</v>
      </c>
      <c r="F51" s="4">
        <v>38.0</v>
      </c>
      <c r="G51" s="4"/>
      <c r="H51" s="4"/>
      <c r="I51" s="4"/>
      <c r="J51" s="4"/>
      <c r="K51" s="4">
        <v>0.930783989</v>
      </c>
      <c r="L51" s="4"/>
      <c r="M51" s="4">
        <f>O71+(O72*F51)</f>
        <v>667.2166685</v>
      </c>
      <c r="N51" s="4">
        <f t="shared" si="4"/>
        <v>621.0345922</v>
      </c>
      <c r="O51" s="4"/>
      <c r="P51" s="4"/>
      <c r="Q51" s="5"/>
      <c r="R51" s="5"/>
      <c r="S51" s="5"/>
      <c r="T51" s="5"/>
      <c r="U51" s="5"/>
      <c r="V51" s="5"/>
      <c r="W51" s="5"/>
      <c r="X51" s="5"/>
      <c r="Y51" s="5"/>
    </row>
    <row r="52">
      <c r="A52" s="28">
        <v>24167.0</v>
      </c>
      <c r="B52" s="29">
        <v>736.0</v>
      </c>
      <c r="D52" s="10"/>
      <c r="E52" s="4">
        <v>3.0</v>
      </c>
      <c r="F52" s="4">
        <v>39.0</v>
      </c>
      <c r="G52" s="4"/>
      <c r="H52" s="4"/>
      <c r="I52" s="4"/>
      <c r="J52" s="4"/>
      <c r="K52" s="4">
        <v>1.053630082</v>
      </c>
      <c r="L52" s="4"/>
      <c r="M52" s="4">
        <f>O71+(O72*F52)</f>
        <v>668.8939787</v>
      </c>
      <c r="N52" s="4">
        <f t="shared" si="4"/>
        <v>704.7668176</v>
      </c>
      <c r="O52" s="4"/>
      <c r="P52" s="4"/>
      <c r="Q52" s="5"/>
      <c r="R52" s="5"/>
      <c r="S52" s="5"/>
      <c r="T52" s="5"/>
      <c r="U52" s="5"/>
      <c r="V52" s="5"/>
      <c r="W52" s="5"/>
      <c r="X52" s="5"/>
      <c r="Y52" s="5"/>
    </row>
    <row r="53">
      <c r="A53" s="28">
        <v>24198.0</v>
      </c>
      <c r="B53" s="29">
        <v>755.0</v>
      </c>
      <c r="D53" s="10"/>
      <c r="E53" s="4">
        <v>4.0</v>
      </c>
      <c r="F53" s="4">
        <v>40.0</v>
      </c>
      <c r="G53" s="4"/>
      <c r="H53" s="4"/>
      <c r="I53" s="4"/>
      <c r="J53" s="4"/>
      <c r="K53" s="4">
        <v>1.076320068</v>
      </c>
      <c r="L53" s="4"/>
      <c r="M53" s="4">
        <f>O71+(O72*F53)</f>
        <v>670.5712889</v>
      </c>
      <c r="N53" s="4">
        <f t="shared" si="4"/>
        <v>721.7493352</v>
      </c>
      <c r="O53" s="4"/>
      <c r="P53" s="4"/>
      <c r="Q53" s="5"/>
      <c r="R53" s="5"/>
      <c r="S53" s="5"/>
      <c r="T53" s="5"/>
      <c r="U53" s="5"/>
      <c r="V53" s="5"/>
      <c r="W53" s="5"/>
      <c r="X53" s="5"/>
      <c r="Y53" s="5"/>
    </row>
    <row r="54">
      <c r="A54" s="28">
        <v>24228.0</v>
      </c>
      <c r="B54" s="29">
        <v>811.0</v>
      </c>
      <c r="D54" s="10"/>
      <c r="E54" s="4">
        <v>5.0</v>
      </c>
      <c r="F54" s="4">
        <v>41.0</v>
      </c>
      <c r="G54" s="4"/>
      <c r="H54" s="4"/>
      <c r="I54" s="4"/>
      <c r="J54" s="4"/>
      <c r="K54" s="4">
        <v>1.172911398</v>
      </c>
      <c r="L54" s="4"/>
      <c r="M54" s="4">
        <f>O71+(O72*F54)</f>
        <v>672.2485991</v>
      </c>
      <c r="N54" s="4">
        <f t="shared" si="4"/>
        <v>788.4880442</v>
      </c>
      <c r="O54" s="4"/>
      <c r="P54" s="4"/>
      <c r="Q54" s="5"/>
      <c r="R54" s="5"/>
      <c r="S54" s="5"/>
      <c r="T54" s="5"/>
      <c r="U54" s="5"/>
      <c r="V54" s="5"/>
      <c r="W54" s="5"/>
      <c r="X54" s="5"/>
      <c r="Y54" s="5"/>
    </row>
    <row r="55">
      <c r="A55" s="28">
        <v>24259.0</v>
      </c>
      <c r="B55" s="29">
        <v>798.0</v>
      </c>
      <c r="D55" s="10"/>
      <c r="E55" s="4">
        <v>6.0</v>
      </c>
      <c r="F55" s="4">
        <v>42.0</v>
      </c>
      <c r="G55" s="4"/>
      <c r="H55" s="4"/>
      <c r="I55" s="4"/>
      <c r="J55" s="4"/>
      <c r="K55" s="4">
        <v>1.126142243</v>
      </c>
      <c r="L55" s="4"/>
      <c r="M55" s="4">
        <f>O71+(O72*F55)</f>
        <v>673.9259093</v>
      </c>
      <c r="N55" s="4">
        <f t="shared" si="4"/>
        <v>758.9364351</v>
      </c>
      <c r="O55" s="4"/>
      <c r="P55" s="4"/>
      <c r="Q55" s="5"/>
      <c r="R55" s="5"/>
      <c r="S55" s="5"/>
      <c r="T55" s="5"/>
      <c r="U55" s="5"/>
      <c r="V55" s="5"/>
      <c r="W55" s="5"/>
      <c r="X55" s="5"/>
      <c r="Y55" s="5"/>
    </row>
    <row r="56">
      <c r="A56" s="28">
        <v>24289.0</v>
      </c>
      <c r="B56" s="29">
        <v>735.0</v>
      </c>
      <c r="D56" s="10"/>
      <c r="E56" s="4">
        <v>7.0</v>
      </c>
      <c r="F56" s="4">
        <v>43.0</v>
      </c>
      <c r="G56" s="4"/>
      <c r="H56" s="4"/>
      <c r="I56" s="4"/>
      <c r="J56" s="4"/>
      <c r="K56" s="4">
        <v>1.037666718</v>
      </c>
      <c r="L56" s="4"/>
      <c r="M56" s="4">
        <f>O71+(O72*F56)</f>
        <v>675.6032195</v>
      </c>
      <c r="N56" s="4">
        <f t="shared" si="4"/>
        <v>701.0509754</v>
      </c>
      <c r="O56" s="4"/>
      <c r="P56" s="4"/>
      <c r="Q56" s="5"/>
      <c r="R56" s="5"/>
      <c r="S56" s="5"/>
      <c r="T56" s="5"/>
      <c r="U56" s="5"/>
      <c r="V56" s="5"/>
      <c r="W56" s="5"/>
      <c r="X56" s="5"/>
      <c r="Y56" s="5"/>
    </row>
    <row r="57">
      <c r="A57" s="28">
        <v>24320.0</v>
      </c>
      <c r="B57" s="29">
        <v>697.0</v>
      </c>
      <c r="D57" s="10"/>
      <c r="E57" s="4">
        <v>8.0</v>
      </c>
      <c r="F57" s="4">
        <v>44.0</v>
      </c>
      <c r="G57" s="4"/>
      <c r="H57" s="4"/>
      <c r="I57" s="4"/>
      <c r="J57" s="4"/>
      <c r="K57" s="4">
        <v>0.968666731</v>
      </c>
      <c r="L57" s="4"/>
      <c r="M57" s="4">
        <f>O71+(O72*F57)</f>
        <v>677.2805297</v>
      </c>
      <c r="N57" s="4">
        <f t="shared" si="4"/>
        <v>656.0591167</v>
      </c>
      <c r="O57" s="4"/>
      <c r="P57" s="4"/>
      <c r="Q57" s="5"/>
      <c r="R57" s="5"/>
      <c r="S57" s="5"/>
      <c r="T57" s="5"/>
      <c r="U57" s="5"/>
      <c r="V57" s="5"/>
      <c r="W57" s="5"/>
      <c r="X57" s="5"/>
      <c r="Y57" s="5"/>
    </row>
    <row r="58">
      <c r="A58" s="28">
        <v>24351.0</v>
      </c>
      <c r="B58" s="29">
        <v>661.0</v>
      </c>
      <c r="D58" s="10"/>
      <c r="E58" s="4">
        <v>9.0</v>
      </c>
      <c r="F58" s="4">
        <v>45.0</v>
      </c>
      <c r="G58" s="4"/>
      <c r="H58" s="4"/>
      <c r="I58" s="4"/>
      <c r="J58" s="4"/>
      <c r="K58" s="4">
        <v>0.912421843</v>
      </c>
      <c r="L58" s="4"/>
      <c r="M58" s="4">
        <f>O71+(O72*F58)</f>
        <v>678.9578399</v>
      </c>
      <c r="N58" s="4">
        <f t="shared" si="4"/>
        <v>619.4959636</v>
      </c>
      <c r="O58" s="4"/>
      <c r="P58" s="4"/>
      <c r="Q58" s="5"/>
      <c r="R58" s="5"/>
      <c r="S58" s="5"/>
      <c r="T58" s="5"/>
      <c r="U58" s="5"/>
      <c r="V58" s="5"/>
      <c r="W58" s="5"/>
      <c r="X58" s="5"/>
      <c r="Y58" s="5"/>
    </row>
    <row r="59">
      <c r="A59" s="31">
        <v>24381.0</v>
      </c>
      <c r="B59" s="29">
        <v>667.0</v>
      </c>
      <c r="D59" s="10"/>
      <c r="E59" s="4">
        <v>10.0</v>
      </c>
      <c r="F59" s="4">
        <v>46.0</v>
      </c>
      <c r="G59" s="4"/>
      <c r="H59" s="4"/>
      <c r="I59" s="4"/>
      <c r="J59" s="4"/>
      <c r="K59" s="4">
        <v>0.919202025</v>
      </c>
      <c r="L59" s="4"/>
      <c r="M59" s="4">
        <f>O71+(O72*F59)</f>
        <v>680.6351501</v>
      </c>
      <c r="N59" s="4">
        <f t="shared" si="4"/>
        <v>625.6412083</v>
      </c>
      <c r="O59" s="4"/>
      <c r="P59" s="4"/>
      <c r="Q59" s="5"/>
      <c r="R59" s="5"/>
      <c r="S59" s="5"/>
      <c r="T59" s="5"/>
      <c r="U59" s="5"/>
      <c r="V59" s="5"/>
      <c r="W59" s="5"/>
      <c r="X59" s="5"/>
      <c r="Y59" s="5"/>
    </row>
    <row r="60">
      <c r="A60" s="31">
        <v>24412.0</v>
      </c>
      <c r="B60" s="29">
        <v>645.0</v>
      </c>
      <c r="D60" s="10"/>
      <c r="E60" s="4">
        <v>11.0</v>
      </c>
      <c r="F60" s="4">
        <v>47.0</v>
      </c>
      <c r="G60" s="4"/>
      <c r="H60" s="4"/>
      <c r="I60" s="4"/>
      <c r="J60" s="4"/>
      <c r="K60" s="4">
        <v>0.888044659</v>
      </c>
      <c r="L60" s="4"/>
      <c r="M60" s="4">
        <f>O71+(O72*F60)</f>
        <v>682.3124603</v>
      </c>
      <c r="N60" s="4">
        <f t="shared" si="4"/>
        <v>605.9239361</v>
      </c>
      <c r="O60" s="4"/>
      <c r="P60" s="4"/>
      <c r="Q60" s="5"/>
      <c r="R60" s="5"/>
      <c r="S60" s="5"/>
      <c r="T60" s="5"/>
      <c r="U60" s="5"/>
      <c r="V60" s="5"/>
      <c r="W60" s="5"/>
      <c r="X60" s="5"/>
      <c r="Y60" s="5"/>
    </row>
    <row r="61">
      <c r="A61" s="31">
        <v>24442.0</v>
      </c>
      <c r="B61" s="29">
        <v>688.0</v>
      </c>
      <c r="D61" s="13"/>
      <c r="E61" s="4">
        <v>12.0</v>
      </c>
      <c r="F61" s="4">
        <v>48.0</v>
      </c>
      <c r="G61" s="4"/>
      <c r="H61" s="4"/>
      <c r="I61" s="4"/>
      <c r="J61" s="4"/>
      <c r="K61" s="4">
        <v>0.939475723</v>
      </c>
      <c r="L61" s="4"/>
      <c r="M61" s="4">
        <f>O71+(O72*F61)</f>
        <v>683.9897705</v>
      </c>
      <c r="N61" s="4">
        <f t="shared" si="4"/>
        <v>642.5917842</v>
      </c>
      <c r="O61" s="4"/>
      <c r="P61" s="4"/>
      <c r="Q61" s="5"/>
      <c r="R61" s="5"/>
      <c r="S61" s="5"/>
      <c r="T61" s="5"/>
      <c r="U61" s="5"/>
      <c r="V61" s="5"/>
      <c r="W61" s="5"/>
      <c r="X61" s="5"/>
      <c r="Y61" s="5"/>
    </row>
    <row r="62">
      <c r="A62" s="32">
        <v>24473.0</v>
      </c>
      <c r="B62" s="33">
        <v>713.0</v>
      </c>
      <c r="Q62" s="5"/>
      <c r="R62" s="5"/>
      <c r="S62" s="5"/>
      <c r="T62" s="5"/>
      <c r="U62" s="5"/>
      <c r="V62" s="5"/>
      <c r="W62" s="5"/>
      <c r="X62" s="5"/>
      <c r="Y62" s="5"/>
    </row>
    <row r="63">
      <c r="A63" s="32">
        <v>24504.0</v>
      </c>
      <c r="B63" s="33">
        <v>667.0</v>
      </c>
      <c r="Q63" s="5"/>
      <c r="R63" s="5"/>
      <c r="S63" s="5"/>
      <c r="T63" s="5"/>
      <c r="U63" s="5"/>
      <c r="V63" s="5"/>
      <c r="W63" s="5"/>
      <c r="X63" s="5"/>
      <c r="Y63" s="5"/>
    </row>
    <row r="64">
      <c r="A64" s="32">
        <v>24532.0</v>
      </c>
      <c r="B64" s="33">
        <v>762.0</v>
      </c>
      <c r="Q64" s="5"/>
      <c r="R64" s="5"/>
      <c r="S64" s="5"/>
      <c r="T64" s="5"/>
      <c r="U64" s="5"/>
      <c r="V64" s="5"/>
      <c r="W64" s="5"/>
      <c r="X64" s="5"/>
      <c r="Y64" s="5"/>
    </row>
    <row r="65">
      <c r="A65" s="32">
        <v>24563.0</v>
      </c>
      <c r="B65" s="33">
        <v>784.0</v>
      </c>
      <c r="Q65" s="5"/>
      <c r="R65" s="5"/>
      <c r="S65" s="5"/>
      <c r="T65" s="5"/>
      <c r="U65" s="5"/>
      <c r="V65" s="5"/>
      <c r="W65" s="5"/>
      <c r="X65" s="5"/>
      <c r="Y65" s="5"/>
    </row>
    <row r="66">
      <c r="A66" s="32">
        <v>24593.0</v>
      </c>
      <c r="B66" s="33">
        <v>837.0</v>
      </c>
      <c r="Q66" s="5"/>
      <c r="R66" s="5"/>
      <c r="S66" s="5"/>
      <c r="T66" s="5"/>
      <c r="U66" s="5"/>
      <c r="V66" s="5"/>
      <c r="W66" s="5"/>
      <c r="X66" s="5"/>
      <c r="Y66" s="5"/>
    </row>
    <row r="67">
      <c r="A67" s="32">
        <v>24624.0</v>
      </c>
      <c r="B67" s="33">
        <v>817.0</v>
      </c>
      <c r="Q67" s="5"/>
      <c r="R67" s="5"/>
      <c r="S67" s="5"/>
      <c r="T67" s="5"/>
      <c r="U67" s="5"/>
      <c r="V67" s="5"/>
      <c r="W67" s="5"/>
      <c r="X67" s="5"/>
      <c r="Y67" s="5"/>
    </row>
    <row r="68">
      <c r="A68" s="32">
        <v>24654.0</v>
      </c>
      <c r="B68" s="33">
        <v>767.0</v>
      </c>
      <c r="Q68" s="5"/>
      <c r="R68" s="5"/>
      <c r="S68" s="5"/>
      <c r="T68" s="5"/>
      <c r="U68" s="5"/>
      <c r="V68" s="5"/>
      <c r="W68" s="5"/>
      <c r="X68" s="5"/>
      <c r="Y68" s="5"/>
    </row>
    <row r="69">
      <c r="A69" s="32">
        <v>24685.0</v>
      </c>
      <c r="B69" s="33">
        <v>722.0</v>
      </c>
      <c r="C69" s="5"/>
      <c r="D69" s="34" t="s">
        <v>15</v>
      </c>
      <c r="E69" s="35"/>
      <c r="F69" s="35"/>
      <c r="G69" s="35"/>
      <c r="H69" s="36"/>
      <c r="J69" s="4" t="s">
        <v>2</v>
      </c>
      <c r="K69" s="37" t="s">
        <v>15</v>
      </c>
      <c r="L69" s="37" t="s">
        <v>16</v>
      </c>
      <c r="M69" s="38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32">
        <v>24716.0</v>
      </c>
      <c r="B70" s="33">
        <v>681.0</v>
      </c>
      <c r="C70" s="5"/>
      <c r="D70" s="39" t="s">
        <v>2</v>
      </c>
      <c r="E70" s="40">
        <v>1962.0</v>
      </c>
      <c r="F70" s="40">
        <v>1963.0</v>
      </c>
      <c r="G70" s="40">
        <v>1964.0</v>
      </c>
      <c r="H70" s="41" t="s">
        <v>8</v>
      </c>
      <c r="J70" s="33">
        <v>1.0</v>
      </c>
      <c r="K70" s="33">
        <v>0.988549733</v>
      </c>
      <c r="L70" s="33">
        <f>K70*12/K82</f>
        <v>0.9747345215</v>
      </c>
      <c r="M70" s="38"/>
      <c r="N70" s="42"/>
      <c r="O70" s="4" t="s">
        <v>17</v>
      </c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43">
        <v>24746.0</v>
      </c>
      <c r="B71" s="33">
        <v>687.0</v>
      </c>
      <c r="C71" s="5"/>
      <c r="D71" s="44">
        <v>1.0</v>
      </c>
      <c r="E71" s="45">
        <v>0.9736966664412741</v>
      </c>
      <c r="F71" s="46">
        <v>0.994982836017956</v>
      </c>
      <c r="G71" s="47">
        <v>0.996969696969697</v>
      </c>
      <c r="H71" s="48">
        <f t="shared" ref="H71:H82" si="5">AVERAGE(E71:G71)</f>
        <v>0.9885497331</v>
      </c>
      <c r="J71" s="33">
        <v>2.0</v>
      </c>
      <c r="K71" s="33">
        <v>0.943976276</v>
      </c>
      <c r="L71" s="33">
        <v>0.930783989</v>
      </c>
      <c r="M71" s="38"/>
      <c r="N71" s="4" t="s">
        <v>18</v>
      </c>
      <c r="O71" s="33">
        <v>603.4788808</v>
      </c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43">
        <v>24777.0</v>
      </c>
      <c r="B72" s="33">
        <v>660.0</v>
      </c>
      <c r="C72" s="5"/>
      <c r="D72" s="44">
        <v>2.0</v>
      </c>
      <c r="E72" s="45">
        <v>0.9175278622087133</v>
      </c>
      <c r="F72" s="46">
        <v>0.9739952718676123</v>
      </c>
      <c r="G72" s="47">
        <v>0.9404056948469194</v>
      </c>
      <c r="H72" s="48">
        <f t="shared" si="5"/>
        <v>0.9439762763</v>
      </c>
      <c r="J72" s="33">
        <v>3.0</v>
      </c>
      <c r="K72" s="33">
        <v>1.068563505</v>
      </c>
      <c r="L72" s="33">
        <v>1.053630082</v>
      </c>
      <c r="M72" s="38"/>
      <c r="N72" s="4" t="s">
        <v>19</v>
      </c>
      <c r="O72" s="33">
        <v>1.677310202</v>
      </c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43">
        <v>24807.0</v>
      </c>
      <c r="B73" s="33">
        <v>698.0</v>
      </c>
      <c r="C73" s="5"/>
      <c r="D73" s="44">
        <v>3.0</v>
      </c>
      <c r="E73" s="45">
        <v>1.0572758550900627</v>
      </c>
      <c r="F73" s="46">
        <v>1.0781586679725759</v>
      </c>
      <c r="G73" s="47">
        <v>1.0702559909428266</v>
      </c>
      <c r="H73" s="48">
        <f t="shared" si="5"/>
        <v>1.068563505</v>
      </c>
      <c r="J73" s="33">
        <v>4.0</v>
      </c>
      <c r="K73" s="33">
        <v>1.091575082</v>
      </c>
      <c r="L73" s="33">
        <v>1.076320068</v>
      </c>
      <c r="M73" s="38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32">
        <v>24838.0</v>
      </c>
      <c r="B74" s="33">
        <v>717.0</v>
      </c>
      <c r="C74" s="5"/>
      <c r="D74" s="44">
        <v>4.0</v>
      </c>
      <c r="E74" s="45">
        <v>1.0874570793779035</v>
      </c>
      <c r="F74" s="46">
        <v>1.0999869977896242</v>
      </c>
      <c r="G74" s="47">
        <v>1.0872811696053208</v>
      </c>
      <c r="H74" s="48">
        <f t="shared" si="5"/>
        <v>1.091575082</v>
      </c>
      <c r="J74" s="33">
        <v>5.0</v>
      </c>
      <c r="K74" s="33">
        <v>1.189535431</v>
      </c>
      <c r="L74" s="33">
        <v>1.172911398</v>
      </c>
      <c r="M74" s="38"/>
      <c r="N74" s="49" t="s">
        <v>20</v>
      </c>
      <c r="O74" s="50">
        <f>P50/48</f>
        <v>0</v>
      </c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32">
        <v>24869.0</v>
      </c>
      <c r="B75" s="33">
        <v>696.0</v>
      </c>
      <c r="C75" s="5"/>
      <c r="D75" s="44">
        <v>5.0</v>
      </c>
      <c r="E75" s="45">
        <v>1.1963721867651997</v>
      </c>
      <c r="F75" s="46">
        <v>1.196736174070716</v>
      </c>
      <c r="G75" s="47">
        <v>1.175497933107854</v>
      </c>
      <c r="H75" s="48">
        <f t="shared" si="5"/>
        <v>1.189535431</v>
      </c>
      <c r="J75" s="33">
        <v>6.0</v>
      </c>
      <c r="K75" s="33">
        <v>1.142103402</v>
      </c>
      <c r="L75" s="33">
        <v>1.126142243</v>
      </c>
      <c r="M75" s="38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32">
        <v>24898.0</v>
      </c>
      <c r="B76" s="33">
        <v>775.0</v>
      </c>
      <c r="C76" s="5"/>
      <c r="D76" s="44">
        <v>6.0</v>
      </c>
      <c r="E76" s="45">
        <v>1.1518198270661573</v>
      </c>
      <c r="F76" s="46">
        <v>1.1403486120077468</v>
      </c>
      <c r="G76" s="47">
        <v>1.1341417677209653</v>
      </c>
      <c r="H76" s="48">
        <f t="shared" si="5"/>
        <v>1.142103402</v>
      </c>
      <c r="J76" s="33">
        <v>7.0</v>
      </c>
      <c r="K76" s="33">
        <v>1.052373887</v>
      </c>
      <c r="L76" s="33">
        <v>1.037666718</v>
      </c>
      <c r="M76" s="38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32">
        <v>24929.0</v>
      </c>
      <c r="B77" s="33">
        <v>796.0</v>
      </c>
      <c r="C77" s="5"/>
      <c r="D77" s="44">
        <v>7.0</v>
      </c>
      <c r="E77" s="45">
        <v>1.058965102286402</v>
      </c>
      <c r="F77" s="46">
        <v>1.0479134466769706</v>
      </c>
      <c r="G77" s="47">
        <v>1.0502431118314426</v>
      </c>
      <c r="H77" s="48">
        <f t="shared" si="5"/>
        <v>1.052373887</v>
      </c>
      <c r="J77" s="33">
        <v>8.0</v>
      </c>
      <c r="K77" s="33">
        <v>0.982395942</v>
      </c>
      <c r="L77" s="33">
        <v>0.968666731</v>
      </c>
      <c r="M77" s="38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32">
        <v>24959.0</v>
      </c>
      <c r="B78" s="33">
        <v>858.0</v>
      </c>
      <c r="C78" s="5"/>
      <c r="D78" s="44">
        <v>8.0</v>
      </c>
      <c r="E78" s="45">
        <v>0.9874633235529474</v>
      </c>
      <c r="F78" s="46">
        <v>0.9850976361767727</v>
      </c>
      <c r="G78" s="47">
        <v>0.9746268656716418</v>
      </c>
      <c r="H78" s="48">
        <f t="shared" si="5"/>
        <v>0.9823959418</v>
      </c>
      <c r="J78" s="33">
        <v>9.0</v>
      </c>
      <c r="K78" s="33">
        <v>0.925353878</v>
      </c>
      <c r="L78" s="33">
        <v>0.912421843</v>
      </c>
      <c r="M78" s="38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32">
        <v>24990.0</v>
      </c>
      <c r="B79" s="33">
        <v>826.0</v>
      </c>
      <c r="C79" s="5"/>
      <c r="D79" s="44">
        <v>9.0</v>
      </c>
      <c r="E79" s="45">
        <v>0.9310000665380265</v>
      </c>
      <c r="F79" s="46">
        <v>0.9285760040996732</v>
      </c>
      <c r="G79" s="47">
        <v>0.9164855634895994</v>
      </c>
      <c r="H79" s="48">
        <f t="shared" si="5"/>
        <v>0.925353878</v>
      </c>
      <c r="J79" s="33">
        <v>10.0</v>
      </c>
      <c r="K79" s="33">
        <v>0.932230158</v>
      </c>
      <c r="L79" s="33">
        <v>0.919202025</v>
      </c>
      <c r="M79" s="38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32">
        <v>25020.0</v>
      </c>
      <c r="B80" s="33">
        <v>783.0</v>
      </c>
      <c r="C80" s="5"/>
      <c r="D80" s="44">
        <v>10.0</v>
      </c>
      <c r="E80" s="45">
        <v>0.9358310083698684</v>
      </c>
      <c r="F80" s="51">
        <v>0.9366377107818088</v>
      </c>
      <c r="G80" s="47">
        <v>0.9242217536896935</v>
      </c>
      <c r="H80" s="48">
        <f t="shared" si="5"/>
        <v>0.9322301576</v>
      </c>
      <c r="J80" s="33">
        <v>11.0</v>
      </c>
      <c r="K80" s="33">
        <v>0.900631188</v>
      </c>
      <c r="L80" s="33">
        <v>0.888044659</v>
      </c>
      <c r="M80" s="38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32">
        <v>25051.0</v>
      </c>
      <c r="B81" s="33">
        <v>740.0</v>
      </c>
      <c r="C81" s="5"/>
      <c r="D81" s="44">
        <v>11.0</v>
      </c>
      <c r="E81" s="45">
        <v>0.8994428230299815</v>
      </c>
      <c r="F81" s="46">
        <v>0.9075052517665032</v>
      </c>
      <c r="G81" s="47">
        <v>0.8949454905847373</v>
      </c>
      <c r="H81" s="48">
        <f t="shared" si="5"/>
        <v>0.9006311885</v>
      </c>
      <c r="J81" s="33">
        <v>12.0</v>
      </c>
      <c r="K81" s="33">
        <v>0.9527912</v>
      </c>
      <c r="L81" s="33">
        <v>0.939475723</v>
      </c>
      <c r="M81" s="38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32">
        <v>25082.0</v>
      </c>
      <c r="B82" s="33">
        <v>701.0</v>
      </c>
      <c r="C82" s="5"/>
      <c r="D82" s="44">
        <v>12.0</v>
      </c>
      <c r="E82" s="45">
        <v>0.9502118644067797</v>
      </c>
      <c r="F82" s="46">
        <v>0.9646253328261697</v>
      </c>
      <c r="G82" s="47">
        <v>0.9435364041604755</v>
      </c>
      <c r="H82" s="48">
        <f t="shared" si="5"/>
        <v>0.9527912005</v>
      </c>
      <c r="J82" s="1" t="s">
        <v>14</v>
      </c>
      <c r="K82" s="1">
        <f t="shared" ref="K82:L82" si="6">sum(K70:K81)</f>
        <v>12.17007968</v>
      </c>
      <c r="L82" s="1">
        <f t="shared" si="6"/>
        <v>12</v>
      </c>
      <c r="M82" s="38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43">
        <v>25112.0</v>
      </c>
      <c r="B83" s="33">
        <v>706.0</v>
      </c>
      <c r="C83" s="5"/>
      <c r="J83" s="1" t="s">
        <v>21</v>
      </c>
      <c r="K83" s="1">
        <f t="shared" ref="K83:L83" si="7">average(K70:K81)</f>
        <v>1.014173307</v>
      </c>
      <c r="L83" s="1">
        <f t="shared" si="7"/>
        <v>1</v>
      </c>
      <c r="M83" s="38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43">
        <v>25143.0</v>
      </c>
      <c r="B84" s="33">
        <v>677.0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43">
        <v>25173.0</v>
      </c>
      <c r="B85" s="33">
        <v>711.0</v>
      </c>
      <c r="C85" s="5"/>
      <c r="D85" s="52" t="s">
        <v>3</v>
      </c>
      <c r="E85" s="53" t="s">
        <v>22</v>
      </c>
      <c r="F85" s="54" t="s">
        <v>11</v>
      </c>
      <c r="G85" s="54" t="s">
        <v>23</v>
      </c>
      <c r="H85" s="54" t="s">
        <v>24</v>
      </c>
      <c r="I85" s="54" t="s">
        <v>25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32">
        <v>25204.0</v>
      </c>
      <c r="B86" s="33">
        <v>734.0</v>
      </c>
      <c r="C86" s="5"/>
      <c r="D86" s="55">
        <v>1.0</v>
      </c>
      <c r="E86" s="56">
        <v>589.0</v>
      </c>
      <c r="F86" s="57">
        <v>589.8666303</v>
      </c>
      <c r="G86" s="57">
        <v>0.998530803</v>
      </c>
      <c r="H86" s="58"/>
      <c r="I86" s="58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32">
        <v>25235.0</v>
      </c>
      <c r="B87" s="33">
        <v>690.0</v>
      </c>
      <c r="C87" s="5"/>
      <c r="D87" s="55">
        <v>2.0</v>
      </c>
      <c r="E87" s="56">
        <v>561.0</v>
      </c>
      <c r="F87" s="57">
        <v>564.830907</v>
      </c>
      <c r="G87" s="57">
        <v>0.993217604</v>
      </c>
      <c r="H87" s="58"/>
      <c r="I87" s="58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32">
        <v>25263.0</v>
      </c>
      <c r="B88" s="33">
        <v>785.0</v>
      </c>
      <c r="C88" s="5"/>
      <c r="D88" s="55">
        <v>3.0</v>
      </c>
      <c r="E88" s="56">
        <v>640.0</v>
      </c>
      <c r="F88" s="57">
        <v>641.1452962</v>
      </c>
      <c r="G88" s="57">
        <v>0.998213671</v>
      </c>
      <c r="H88" s="57">
        <v>0.996654026</v>
      </c>
      <c r="I88" s="57">
        <v>1.001564881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32">
        <v>25294.0</v>
      </c>
      <c r="B89" s="33">
        <v>805.0</v>
      </c>
      <c r="C89" s="5"/>
      <c r="D89" s="55">
        <v>4.0</v>
      </c>
      <c r="E89" s="56">
        <v>656.0</v>
      </c>
      <c r="F89" s="57">
        <v>656.7577202</v>
      </c>
      <c r="G89" s="57">
        <v>0.998846271</v>
      </c>
      <c r="H89" s="57">
        <v>0.996759182</v>
      </c>
      <c r="I89" s="57">
        <v>1.002093875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32">
        <v>25324.0</v>
      </c>
      <c r="B90" s="33">
        <v>871.0</v>
      </c>
      <c r="C90" s="5"/>
      <c r="D90" s="55">
        <v>5.0</v>
      </c>
      <c r="E90" s="56">
        <v>727.0</v>
      </c>
      <c r="F90" s="57">
        <v>717.663939</v>
      </c>
      <c r="G90" s="57">
        <v>1.013008959</v>
      </c>
      <c r="H90" s="57">
        <v>1.003356301</v>
      </c>
      <c r="I90" s="57">
        <v>1.00962037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32">
        <v>25355.0</v>
      </c>
      <c r="B91" s="33">
        <v>845.0</v>
      </c>
      <c r="C91" s="5"/>
      <c r="D91" s="55">
        <v>6.0</v>
      </c>
      <c r="E91" s="56">
        <v>697.0</v>
      </c>
      <c r="F91" s="57">
        <v>690.9363994</v>
      </c>
      <c r="G91" s="57">
        <v>1.008775917</v>
      </c>
      <c r="H91" s="57">
        <v>1.006877049</v>
      </c>
      <c r="I91" s="57">
        <v>1.001885899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32">
        <v>25385.0</v>
      </c>
      <c r="B92" s="33">
        <v>801.0</v>
      </c>
      <c r="C92" s="5"/>
      <c r="D92" s="55">
        <v>7.0</v>
      </c>
      <c r="E92" s="56">
        <v>640.0</v>
      </c>
      <c r="F92" s="57">
        <v>638.3933724</v>
      </c>
      <c r="G92" s="57">
        <v>1.002516673</v>
      </c>
      <c r="H92" s="57">
        <v>1.008100517</v>
      </c>
      <c r="I92" s="57">
        <v>0.994461025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32">
        <v>25416.0</v>
      </c>
      <c r="B93" s="33">
        <v>764.0</v>
      </c>
      <c r="C93" s="5"/>
      <c r="D93" s="55">
        <v>8.0</v>
      </c>
      <c r="E93" s="56">
        <v>599.0</v>
      </c>
      <c r="F93" s="57">
        <v>597.5679513</v>
      </c>
      <c r="G93" s="57">
        <v>1.002396462</v>
      </c>
      <c r="H93" s="57">
        <v>1.004563017</v>
      </c>
      <c r="I93" s="57">
        <v>0.997843285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32">
        <v>25447.0</v>
      </c>
      <c r="B94" s="33">
        <v>725.0</v>
      </c>
      <c r="C94" s="5"/>
      <c r="D94" s="55">
        <v>9.0</v>
      </c>
      <c r="E94" s="56">
        <v>568.0</v>
      </c>
      <c r="F94" s="57">
        <v>564.4010429</v>
      </c>
      <c r="G94" s="57">
        <v>1.006376595</v>
      </c>
      <c r="H94" s="57">
        <v>1.003763243</v>
      </c>
      <c r="I94" s="57">
        <v>1.002603554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43">
        <v>25477.0</v>
      </c>
      <c r="B95" s="33">
        <v>723.0</v>
      </c>
      <c r="C95" s="5"/>
      <c r="D95" s="55">
        <v>10.0</v>
      </c>
      <c r="E95" s="56">
        <v>577.0</v>
      </c>
      <c r="F95" s="57">
        <v>570.1368787</v>
      </c>
      <c r="G95" s="57">
        <v>1.012037673</v>
      </c>
      <c r="H95" s="57">
        <v>1.00693691</v>
      </c>
      <c r="I95" s="57">
        <v>1.005065623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43">
        <v>25508.0</v>
      </c>
      <c r="B96" s="33">
        <v>690.0</v>
      </c>
      <c r="C96" s="5"/>
      <c r="D96" s="55">
        <v>11.0</v>
      </c>
      <c r="E96" s="56">
        <v>553.0</v>
      </c>
      <c r="F96" s="57">
        <v>552.3009869</v>
      </c>
      <c r="G96" s="57">
        <v>1.001265638</v>
      </c>
      <c r="H96" s="57">
        <v>1.006559969</v>
      </c>
      <c r="I96" s="57">
        <v>0.994740174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43">
        <v>25538.0</v>
      </c>
      <c r="B97" s="33">
        <v>734.0</v>
      </c>
      <c r="C97" s="5"/>
      <c r="D97" s="55">
        <v>12.0</v>
      </c>
      <c r="E97" s="56">
        <v>582.0</v>
      </c>
      <c r="F97" s="57">
        <v>585.8632642</v>
      </c>
      <c r="G97" s="57">
        <v>0.99340586</v>
      </c>
      <c r="H97" s="57">
        <v>1.00223639</v>
      </c>
      <c r="I97" s="57">
        <v>0.991189174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32">
        <v>25569.0</v>
      </c>
      <c r="B98" s="33">
        <v>750.0</v>
      </c>
      <c r="C98" s="5"/>
      <c r="D98" s="59">
        <v>13.0</v>
      </c>
      <c r="E98" s="60">
        <v>600.0</v>
      </c>
      <c r="F98" s="61">
        <v>609.4858162</v>
      </c>
      <c r="G98" s="61">
        <v>0.984436363</v>
      </c>
      <c r="H98" s="61">
        <v>0.993035954</v>
      </c>
      <c r="I98" s="61">
        <v>0.991340101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32">
        <v>25600.0</v>
      </c>
      <c r="B99" s="33">
        <v>707.0</v>
      </c>
      <c r="C99" s="5"/>
      <c r="D99" s="59">
        <v>14.0</v>
      </c>
      <c r="E99" s="60">
        <v>566.0</v>
      </c>
      <c r="F99" s="61">
        <v>583.5654687</v>
      </c>
      <c r="G99" s="61">
        <v>0.969899746</v>
      </c>
      <c r="H99" s="61">
        <v>0.982580656</v>
      </c>
      <c r="I99" s="61">
        <v>0.987094281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32">
        <v>25628.0</v>
      </c>
      <c r="B100" s="33">
        <v>807.0</v>
      </c>
      <c r="C100" s="5"/>
      <c r="D100" s="59">
        <v>15.0</v>
      </c>
      <c r="E100" s="60">
        <v>653.0</v>
      </c>
      <c r="F100" s="61">
        <v>662.35247</v>
      </c>
      <c r="G100" s="61">
        <v>0.98587992</v>
      </c>
      <c r="H100" s="61">
        <v>0.98007201</v>
      </c>
      <c r="I100" s="61">
        <v>1.005926004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32">
        <v>25659.0</v>
      </c>
      <c r="B101" s="33">
        <v>824.0</v>
      </c>
      <c r="C101" s="5"/>
      <c r="D101" s="59">
        <v>16.0</v>
      </c>
      <c r="E101" s="60">
        <v>673.0</v>
      </c>
      <c r="F101" s="61">
        <v>678.4215918</v>
      </c>
      <c r="G101" s="61">
        <v>0.992008521</v>
      </c>
      <c r="H101" s="61">
        <v>0.982596062</v>
      </c>
      <c r="I101" s="61">
        <v>1.009579174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32">
        <v>25689.0</v>
      </c>
      <c r="B102" s="33">
        <v>886.0</v>
      </c>
      <c r="C102" s="5"/>
      <c r="D102" s="59">
        <v>17.0</v>
      </c>
      <c r="E102" s="60">
        <v>742.0</v>
      </c>
      <c r="F102" s="61">
        <v>741.271974</v>
      </c>
      <c r="G102" s="61">
        <v>1.000982131</v>
      </c>
      <c r="H102" s="61">
        <v>0.992956857</v>
      </c>
      <c r="I102" s="61">
        <v>1.008082198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32">
        <v>25720.0</v>
      </c>
      <c r="B103" s="33">
        <v>859.0</v>
      </c>
      <c r="C103" s="5"/>
      <c r="D103" s="59">
        <v>18.0</v>
      </c>
      <c r="E103" s="60">
        <v>716.0</v>
      </c>
      <c r="F103" s="61">
        <v>713.6030778</v>
      </c>
      <c r="G103" s="61">
        <v>1.003358901</v>
      </c>
      <c r="H103" s="61">
        <v>0.998783184</v>
      </c>
      <c r="I103" s="61">
        <v>1.004581291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32">
        <v>25750.0</v>
      </c>
      <c r="B104" s="33">
        <v>819.0</v>
      </c>
      <c r="C104" s="5"/>
      <c r="D104" s="59">
        <v>19.0</v>
      </c>
      <c r="E104" s="60">
        <v>660.0</v>
      </c>
      <c r="F104" s="61">
        <v>659.2792401</v>
      </c>
      <c r="G104" s="61">
        <v>1.001093254</v>
      </c>
      <c r="H104" s="61">
        <v>1.001811429</v>
      </c>
      <c r="I104" s="61">
        <v>0.999283124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32">
        <v>25781.0</v>
      </c>
      <c r="B105" s="33">
        <v>783.0</v>
      </c>
      <c r="C105" s="5"/>
      <c r="D105" s="59">
        <v>20.0</v>
      </c>
      <c r="E105" s="60">
        <v>617.0</v>
      </c>
      <c r="F105" s="61">
        <v>617.0650064</v>
      </c>
      <c r="G105" s="61">
        <v>0.999894652</v>
      </c>
      <c r="H105" s="61">
        <v>1.001448936</v>
      </c>
      <c r="I105" s="61">
        <v>0.998447965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32">
        <v>25812.0</v>
      </c>
      <c r="B106" s="33">
        <v>740.0</v>
      </c>
      <c r="C106" s="5"/>
      <c r="D106" s="59">
        <v>21.0</v>
      </c>
      <c r="E106" s="60">
        <v>583.0</v>
      </c>
      <c r="F106" s="61">
        <v>582.7660165</v>
      </c>
      <c r="G106" s="61">
        <v>1.000401505</v>
      </c>
      <c r="H106" s="61">
        <v>1.000463137</v>
      </c>
      <c r="I106" s="61">
        <v>0.999938396</v>
      </c>
      <c r="J106" s="5"/>
      <c r="K106" s="11"/>
      <c r="L106" s="5"/>
      <c r="M106" s="5"/>
      <c r="N106" s="11" t="s">
        <v>26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43">
        <v>25842.0</v>
      </c>
      <c r="B107" s="33">
        <v>747.0</v>
      </c>
      <c r="C107" s="5"/>
      <c r="D107" s="59">
        <v>22.0</v>
      </c>
      <c r="E107" s="60">
        <v>587.0</v>
      </c>
      <c r="F107" s="61">
        <v>588.6383219</v>
      </c>
      <c r="G107" s="61">
        <v>0.99721676</v>
      </c>
      <c r="H107" s="61">
        <v>0.999170972</v>
      </c>
      <c r="I107" s="61">
        <v>0.998044166</v>
      </c>
      <c r="J107" s="5"/>
      <c r="K107" s="5"/>
      <c r="L107" s="5"/>
      <c r="M107" s="11" t="s">
        <v>27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43">
        <v>25873.0</v>
      </c>
      <c r="B108" s="33">
        <v>711.0</v>
      </c>
      <c r="C108" s="5"/>
      <c r="D108" s="59">
        <v>23.0</v>
      </c>
      <c r="E108" s="60">
        <v>565.0</v>
      </c>
      <c r="F108" s="61">
        <v>570.1753033</v>
      </c>
      <c r="G108" s="61">
        <v>0.990923312</v>
      </c>
      <c r="H108" s="61">
        <v>0.996180526</v>
      </c>
      <c r="I108" s="61">
        <v>0.99472263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43">
        <v>25903.0</v>
      </c>
      <c r="B109" s="33">
        <v>751.0</v>
      </c>
      <c r="C109" s="5"/>
      <c r="D109" s="59">
        <v>24.0</v>
      </c>
      <c r="E109" s="60">
        <v>598.0</v>
      </c>
      <c r="F109" s="61">
        <v>604.7727708</v>
      </c>
      <c r="G109" s="61">
        <v>0.988801131</v>
      </c>
      <c r="H109" s="61">
        <v>0.992313734</v>
      </c>
      <c r="I109" s="61">
        <v>0.996460189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32">
        <v>25934.0</v>
      </c>
      <c r="B110" s="33">
        <v>804.0</v>
      </c>
      <c r="C110" s="5"/>
      <c r="D110" s="62">
        <v>25.0</v>
      </c>
      <c r="E110" s="63">
        <v>628.0</v>
      </c>
      <c r="F110" s="64">
        <v>629.105002</v>
      </c>
      <c r="G110" s="64">
        <v>0.998243533</v>
      </c>
      <c r="H110" s="64">
        <v>0.992655992</v>
      </c>
      <c r="I110" s="64">
        <v>1.005628879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32">
        <v>25965.0</v>
      </c>
      <c r="B111" s="33">
        <v>756.0</v>
      </c>
      <c r="C111" s="5"/>
      <c r="D111" s="62">
        <v>26.0</v>
      </c>
      <c r="E111" s="63">
        <v>618.0</v>
      </c>
      <c r="F111" s="64">
        <v>602.3000305</v>
      </c>
      <c r="G111" s="64">
        <v>1.026066692</v>
      </c>
      <c r="H111" s="64">
        <v>1.004370452</v>
      </c>
      <c r="I111" s="64">
        <v>1.02160183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32">
        <v>25993.0</v>
      </c>
      <c r="B112" s="33">
        <v>860.0</v>
      </c>
      <c r="C112" s="5"/>
      <c r="D112" s="62">
        <v>27.0</v>
      </c>
      <c r="E112" s="63">
        <v>688.0</v>
      </c>
      <c r="F112" s="64">
        <v>683.5596438</v>
      </c>
      <c r="G112" s="64">
        <v>1.006495931</v>
      </c>
      <c r="H112" s="64">
        <v>1.010268719</v>
      </c>
      <c r="I112" s="64">
        <v>0.99626556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32">
        <v>26024.0</v>
      </c>
      <c r="B113" s="33">
        <v>878.0</v>
      </c>
      <c r="C113" s="5"/>
      <c r="D113" s="62">
        <v>28.0</v>
      </c>
      <c r="E113" s="63">
        <v>705.0</v>
      </c>
      <c r="F113" s="64">
        <v>700.0854633</v>
      </c>
      <c r="G113" s="64">
        <v>1.00701991</v>
      </c>
      <c r="H113" s="64">
        <v>1.013194178</v>
      </c>
      <c r="I113" s="64">
        <v>0.993906136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32">
        <v>26054.0</v>
      </c>
      <c r="B114" s="33">
        <v>942.0</v>
      </c>
      <c r="C114" s="5"/>
      <c r="D114" s="62">
        <v>29.0</v>
      </c>
      <c r="E114" s="63">
        <v>770.0</v>
      </c>
      <c r="F114" s="64">
        <v>764.8800091</v>
      </c>
      <c r="G114" s="64">
        <v>1.006693849</v>
      </c>
      <c r="H114" s="64">
        <v>1.006736563</v>
      </c>
      <c r="I114" s="64">
        <v>0.999957571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32">
        <v>26085.0</v>
      </c>
      <c r="B115" s="33">
        <v>913.0</v>
      </c>
      <c r="C115" s="5"/>
      <c r="D115" s="62">
        <v>30.0</v>
      </c>
      <c r="E115" s="63">
        <v>736.0</v>
      </c>
      <c r="F115" s="64">
        <v>736.2697563</v>
      </c>
      <c r="G115" s="64">
        <v>0.999633618</v>
      </c>
      <c r="H115" s="64">
        <v>1.004449125</v>
      </c>
      <c r="I115" s="64">
        <v>0.995205822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32">
        <v>26115.0</v>
      </c>
      <c r="B116" s="33">
        <v>869.0</v>
      </c>
      <c r="C116" s="5"/>
      <c r="D116" s="62">
        <v>31.0</v>
      </c>
      <c r="E116" s="63">
        <v>678.0</v>
      </c>
      <c r="F116" s="64">
        <v>680.1651077</v>
      </c>
      <c r="G116" s="64">
        <v>0.996816791</v>
      </c>
      <c r="H116" s="64">
        <v>1.001048086</v>
      </c>
      <c r="I116" s="64">
        <v>0.995773135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32">
        <v>26146.0</v>
      </c>
      <c r="B117" s="33">
        <v>834.0</v>
      </c>
      <c r="C117" s="5"/>
      <c r="D117" s="62">
        <v>32.0</v>
      </c>
      <c r="E117" s="63">
        <v>639.0</v>
      </c>
      <c r="F117" s="64">
        <v>636.5620615</v>
      </c>
      <c r="G117" s="64">
        <v>1.003829852</v>
      </c>
      <c r="H117" s="64">
        <v>1.00009342</v>
      </c>
      <c r="I117" s="64">
        <v>1.003736083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32">
        <v>26177.0</v>
      </c>
      <c r="B118" s="33">
        <v>790.0</v>
      </c>
      <c r="C118" s="5"/>
      <c r="D118" s="62">
        <v>33.0</v>
      </c>
      <c r="E118" s="63">
        <v>604.0</v>
      </c>
      <c r="F118" s="64">
        <v>601.1309901</v>
      </c>
      <c r="G118" s="64">
        <v>1.004772687</v>
      </c>
      <c r="H118" s="64">
        <v>1.001806443</v>
      </c>
      <c r="I118" s="64">
        <v>1.002960895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43">
        <v>26207.0</v>
      </c>
      <c r="B119" s="33">
        <v>800.0</v>
      </c>
      <c r="C119" s="5"/>
      <c r="D119" s="62">
        <v>34.0</v>
      </c>
      <c r="E119" s="63">
        <v>611.0</v>
      </c>
      <c r="F119" s="64">
        <v>607.1397651</v>
      </c>
      <c r="G119" s="64">
        <v>1.006358066</v>
      </c>
      <c r="H119" s="64">
        <v>1.004986868</v>
      </c>
      <c r="I119" s="64">
        <v>1.001364394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43">
        <v>26238.0</v>
      </c>
      <c r="B120" s="33">
        <v>763.0</v>
      </c>
      <c r="C120" s="5"/>
      <c r="D120" s="62">
        <v>35.0</v>
      </c>
      <c r="E120" s="63">
        <v>594.0</v>
      </c>
      <c r="F120" s="64">
        <v>588.0496196</v>
      </c>
      <c r="G120" s="64">
        <v>1.010118841</v>
      </c>
      <c r="H120" s="64">
        <v>1.007083198</v>
      </c>
      <c r="I120" s="64">
        <v>1.003014292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43">
        <v>26268.0</v>
      </c>
      <c r="B121" s="33">
        <v>800.0</v>
      </c>
      <c r="C121" s="5"/>
      <c r="D121" s="62">
        <v>36.0</v>
      </c>
      <c r="E121" s="63">
        <v>634.0</v>
      </c>
      <c r="F121" s="64">
        <v>623.6822773</v>
      </c>
      <c r="G121" s="64">
        <v>1.016543235</v>
      </c>
      <c r="H121" s="64">
        <v>1.011006714</v>
      </c>
      <c r="I121" s="64">
        <v>1.005476246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32">
        <v>26299.0</v>
      </c>
      <c r="B122" s="33">
        <v>826.0</v>
      </c>
      <c r="C122" s="5"/>
      <c r="D122" s="65">
        <v>37.0</v>
      </c>
      <c r="E122" s="66">
        <v>658.0</v>
      </c>
      <c r="F122" s="67">
        <v>648.7241879</v>
      </c>
      <c r="G122" s="67">
        <v>1.014298545</v>
      </c>
      <c r="H122" s="67">
        <v>1.01365354</v>
      </c>
      <c r="I122" s="67">
        <v>1.000636317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32">
        <v>26330.0</v>
      </c>
      <c r="B123" s="33">
        <v>799.0</v>
      </c>
      <c r="C123" s="5"/>
      <c r="D123" s="65">
        <v>38.0</v>
      </c>
      <c r="E123" s="66">
        <v>622.0</v>
      </c>
      <c r="F123" s="67">
        <v>621.0345923</v>
      </c>
      <c r="G123" s="67">
        <v>1.001554515</v>
      </c>
      <c r="H123" s="67">
        <v>1.010798765</v>
      </c>
      <c r="I123" s="67">
        <v>0.99085451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32">
        <v>26359.0</v>
      </c>
      <c r="B124" s="33">
        <v>890.0</v>
      </c>
      <c r="C124" s="5"/>
      <c r="D124" s="65">
        <v>39.0</v>
      </c>
      <c r="E124" s="66">
        <v>709.0</v>
      </c>
      <c r="F124" s="67">
        <v>704.7668176</v>
      </c>
      <c r="G124" s="67">
        <v>1.006006501</v>
      </c>
      <c r="H124" s="67">
        <v>1.00728652</v>
      </c>
      <c r="I124" s="67">
        <v>0.99872924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32">
        <v>26390.0</v>
      </c>
      <c r="B125" s="33">
        <v>900.0</v>
      </c>
      <c r="C125" s="5"/>
      <c r="D125" s="65">
        <v>40.0</v>
      </c>
      <c r="E125" s="66">
        <v>722.0</v>
      </c>
      <c r="F125" s="67">
        <v>721.7493349</v>
      </c>
      <c r="G125" s="67">
        <v>1.000347302</v>
      </c>
      <c r="H125" s="67">
        <v>1.002636106</v>
      </c>
      <c r="I125" s="67">
        <v>0.997717214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32">
        <v>26420.0</v>
      </c>
      <c r="B126" s="33">
        <v>961.0</v>
      </c>
      <c r="C126" s="5"/>
      <c r="D126" s="65">
        <v>41.0</v>
      </c>
      <c r="E126" s="66">
        <v>782.0</v>
      </c>
      <c r="F126" s="67">
        <v>788.4880441</v>
      </c>
      <c r="G126" s="67">
        <v>0.991771538</v>
      </c>
      <c r="H126" s="67">
        <v>0.999375114</v>
      </c>
      <c r="I126" s="67">
        <v>0.99239167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32">
        <v>26451.0</v>
      </c>
      <c r="B127" s="33">
        <v>935.0</v>
      </c>
      <c r="C127" s="5"/>
      <c r="D127" s="65">
        <v>42.0</v>
      </c>
      <c r="E127" s="66">
        <v>756.0</v>
      </c>
      <c r="F127" s="67">
        <v>758.9364348</v>
      </c>
      <c r="G127" s="67">
        <v>0.996130855</v>
      </c>
      <c r="H127" s="67">
        <v>0.996083232</v>
      </c>
      <c r="I127" s="67">
        <v>1.000047811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32">
        <v>26481.0</v>
      </c>
      <c r="B128" s="33">
        <v>894.0</v>
      </c>
      <c r="C128" s="5"/>
      <c r="D128" s="65">
        <v>43.0</v>
      </c>
      <c r="E128" s="66">
        <v>702.0</v>
      </c>
      <c r="F128" s="67">
        <v>701.0509754</v>
      </c>
      <c r="G128" s="67">
        <v>1.001353717</v>
      </c>
      <c r="H128" s="67">
        <v>0.996418703</v>
      </c>
      <c r="I128" s="67">
        <v>1.004952751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32">
        <v>26512.0</v>
      </c>
      <c r="B129" s="33">
        <v>855.0</v>
      </c>
      <c r="C129" s="5"/>
      <c r="D129" s="65">
        <v>44.0</v>
      </c>
      <c r="E129" s="66">
        <v>653.0</v>
      </c>
      <c r="F129" s="67">
        <v>656.0591165</v>
      </c>
      <c r="G129" s="67">
        <v>0.995337133</v>
      </c>
      <c r="H129" s="67">
        <v>0.997607235</v>
      </c>
      <c r="I129" s="67">
        <v>0.997724453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32">
        <v>26543.0</v>
      </c>
      <c r="B130" s="33">
        <v>809.0</v>
      </c>
      <c r="C130" s="5"/>
      <c r="D130" s="65">
        <v>45.0</v>
      </c>
      <c r="E130" s="66">
        <v>615.0</v>
      </c>
      <c r="F130" s="67">
        <v>619.4959637</v>
      </c>
      <c r="G130" s="67">
        <v>0.992742546</v>
      </c>
      <c r="H130" s="67">
        <v>0.996477798</v>
      </c>
      <c r="I130" s="67">
        <v>0.996251544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43">
        <v>26573.0</v>
      </c>
      <c r="B131" s="33">
        <v>810.0</v>
      </c>
      <c r="C131" s="5"/>
      <c r="D131" s="65">
        <v>46.0</v>
      </c>
      <c r="E131" s="66">
        <v>621.0</v>
      </c>
      <c r="F131" s="67">
        <v>625.6412083</v>
      </c>
      <c r="G131" s="67">
        <v>0.992581677</v>
      </c>
      <c r="H131" s="67">
        <v>0.993553785</v>
      </c>
      <c r="I131" s="67">
        <v>0.999021585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43">
        <v>26604.0</v>
      </c>
      <c r="B132" s="33">
        <v>766.0</v>
      </c>
      <c r="C132" s="5"/>
      <c r="D132" s="65">
        <v>47.0</v>
      </c>
      <c r="E132" s="66">
        <v>602.0</v>
      </c>
      <c r="F132" s="67">
        <v>605.923936</v>
      </c>
      <c r="G132" s="67">
        <v>0.993524045</v>
      </c>
      <c r="H132" s="67">
        <v>0.992949423</v>
      </c>
      <c r="I132" s="67">
        <v>1.000578703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43">
        <v>26634.0</v>
      </c>
      <c r="B133" s="33">
        <v>805.0</v>
      </c>
      <c r="C133" s="5"/>
      <c r="D133" s="65">
        <v>48.0</v>
      </c>
      <c r="E133" s="66">
        <v>635.0</v>
      </c>
      <c r="F133" s="67">
        <v>642.5917839</v>
      </c>
      <c r="G133" s="67">
        <v>0.988185682</v>
      </c>
      <c r="H133" s="67">
        <v>0.991430468</v>
      </c>
      <c r="I133" s="67">
        <v>0.996727167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32">
        <v>26665.0</v>
      </c>
      <c r="B134" s="33">
        <v>821.0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32">
        <v>26696.0</v>
      </c>
      <c r="B135" s="33">
        <v>773.0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32">
        <v>26724.0</v>
      </c>
      <c r="B136" s="33">
        <v>883.0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32">
        <v>26755.0</v>
      </c>
      <c r="B137" s="33">
        <v>898.0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32">
        <v>26785.0</v>
      </c>
      <c r="B138" s="33">
        <v>957.0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32">
        <v>26816.0</v>
      </c>
      <c r="B139" s="33">
        <v>924.0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32">
        <v>26846.0</v>
      </c>
      <c r="B140" s="33">
        <v>881.0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32">
        <v>26877.0</v>
      </c>
      <c r="B141" s="33">
        <v>837.0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32">
        <v>26908.0</v>
      </c>
      <c r="B142" s="33">
        <v>784.0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43">
        <v>26938.0</v>
      </c>
      <c r="B143" s="33">
        <v>791.0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43">
        <v>26969.0</v>
      </c>
      <c r="B144" s="33">
        <v>760.0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43">
        <v>26999.0</v>
      </c>
      <c r="B145" s="33">
        <v>802.0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32">
        <v>27030.0</v>
      </c>
      <c r="B146" s="33">
        <v>828.0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32">
        <v>27061.0</v>
      </c>
      <c r="B147" s="33">
        <v>778.0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32">
        <v>27089.0</v>
      </c>
      <c r="B148" s="33">
        <v>889.0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32">
        <v>27120.0</v>
      </c>
      <c r="B149" s="33">
        <v>902.0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32">
        <v>27150.0</v>
      </c>
      <c r="B150" s="33">
        <v>969.0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32">
        <v>27181.0</v>
      </c>
      <c r="B151" s="33">
        <v>947.0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32">
        <v>27211.0</v>
      </c>
      <c r="B152" s="33">
        <v>908.0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32">
        <v>27242.0</v>
      </c>
      <c r="B153" s="33">
        <v>867.0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32">
        <v>27273.0</v>
      </c>
      <c r="B154" s="33">
        <v>815.0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43">
        <v>27303.0</v>
      </c>
      <c r="B155" s="33">
        <v>812.0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43">
        <v>27334.0</v>
      </c>
      <c r="B156" s="33">
        <v>773.0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43">
        <v>27364.0</v>
      </c>
      <c r="B157" s="33">
        <v>813.0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32">
        <v>27395.0</v>
      </c>
      <c r="B158" s="33">
        <v>834.0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32">
        <v>27426.0</v>
      </c>
      <c r="B159" s="33">
        <v>782.0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32">
        <v>27454.0</v>
      </c>
      <c r="B160" s="33">
        <v>892.0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32">
        <v>27485.0</v>
      </c>
      <c r="B161" s="33">
        <v>903.0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32">
        <v>27515.0</v>
      </c>
      <c r="B162" s="33">
        <v>966.0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32">
        <v>27546.0</v>
      </c>
      <c r="B163" s="33">
        <v>937.0</v>
      </c>
      <c r="C163" s="5"/>
      <c r="D163" s="5"/>
      <c r="E163" s="5"/>
      <c r="F163" s="5"/>
      <c r="G163" s="5"/>
      <c r="H163" s="5"/>
      <c r="I163" s="5"/>
      <c r="J163" s="5"/>
      <c r="K163" s="11" t="s">
        <v>28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32">
        <v>27576.0</v>
      </c>
      <c r="B164" s="33">
        <v>896.0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32">
        <v>27607.0</v>
      </c>
      <c r="B165" s="33">
        <v>858.0</v>
      </c>
      <c r="C165" s="5"/>
      <c r="D165" s="5"/>
      <c r="E165" s="5"/>
      <c r="F165" s="5"/>
      <c r="G165" s="5"/>
      <c r="H165" s="5"/>
      <c r="I165" s="5"/>
      <c r="J165" s="11" t="s">
        <v>28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32">
        <v>27638.0</v>
      </c>
      <c r="B166" s="33">
        <v>817.0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43">
        <v>27668.0</v>
      </c>
      <c r="B167" s="33">
        <v>827.0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43">
        <v>27699.0</v>
      </c>
      <c r="B168" s="33">
        <v>797.0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43">
        <v>27729.0</v>
      </c>
      <c r="B169" s="33">
        <v>843.0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11" t="s">
        <v>29</v>
      </c>
      <c r="B171" s="68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6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68"/>
      <c r="B173" s="68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</sheetData>
  <mergeCells count="6">
    <mergeCell ref="D2:D13"/>
    <mergeCell ref="D14:D25"/>
    <mergeCell ref="D26:D37"/>
    <mergeCell ref="D38:D49"/>
    <mergeCell ref="D50:D61"/>
    <mergeCell ref="D69:H6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0" t="s">
        <v>30</v>
      </c>
      <c r="C1" s="71"/>
      <c r="D1" s="71"/>
      <c r="E1" s="71"/>
      <c r="F1" s="71"/>
      <c r="G1" s="71"/>
      <c r="H1" s="71"/>
      <c r="I1" s="71"/>
      <c r="J1" s="71"/>
    </row>
    <row r="2">
      <c r="A2" s="71"/>
      <c r="B2" s="71"/>
      <c r="C2" s="71"/>
      <c r="D2" s="71"/>
      <c r="E2" s="71"/>
      <c r="F2" s="71"/>
      <c r="G2" s="71"/>
      <c r="H2" s="71"/>
      <c r="I2" s="71"/>
      <c r="J2" s="71"/>
    </row>
    <row r="3">
      <c r="A3" s="72" t="s">
        <v>31</v>
      </c>
      <c r="B3" s="35"/>
      <c r="C3" s="71"/>
      <c r="D3" s="71"/>
      <c r="E3" s="71"/>
      <c r="F3" s="71"/>
      <c r="G3" s="71"/>
      <c r="H3" s="71"/>
      <c r="I3" s="71"/>
      <c r="J3" s="71"/>
    </row>
    <row r="4">
      <c r="A4" s="70" t="s">
        <v>32</v>
      </c>
      <c r="B4" s="73">
        <v>0.96886186</v>
      </c>
      <c r="C4" s="71"/>
      <c r="D4" s="71"/>
      <c r="E4" s="71"/>
      <c r="F4" s="71"/>
      <c r="G4" s="71"/>
      <c r="H4" s="71"/>
      <c r="I4" s="71"/>
      <c r="J4" s="71"/>
    </row>
    <row r="5">
      <c r="A5" s="70" t="s">
        <v>33</v>
      </c>
      <c r="B5" s="73">
        <v>0.938693303</v>
      </c>
      <c r="C5" s="71"/>
      <c r="D5" s="71"/>
      <c r="E5" s="71"/>
      <c r="F5" s="71"/>
      <c r="G5" s="71"/>
      <c r="H5" s="71"/>
      <c r="I5" s="71"/>
      <c r="J5" s="71"/>
    </row>
    <row r="6">
      <c r="A6" s="70" t="s">
        <v>34</v>
      </c>
      <c r="B6" s="73">
        <v>0.937360549</v>
      </c>
      <c r="C6" s="71"/>
      <c r="D6" s="71"/>
      <c r="E6" s="71"/>
      <c r="F6" s="71"/>
      <c r="G6" s="71"/>
      <c r="H6" s="71"/>
      <c r="I6" s="71"/>
      <c r="J6" s="71"/>
    </row>
    <row r="7">
      <c r="A7" s="70" t="s">
        <v>35</v>
      </c>
      <c r="B7" s="73">
        <v>6.066015782</v>
      </c>
      <c r="C7" s="71"/>
      <c r="D7" s="71"/>
      <c r="E7" s="71"/>
      <c r="F7" s="71"/>
      <c r="G7" s="71"/>
      <c r="H7" s="71"/>
      <c r="I7" s="71"/>
      <c r="J7" s="71"/>
    </row>
    <row r="8">
      <c r="A8" s="74" t="s">
        <v>36</v>
      </c>
      <c r="B8" s="75">
        <v>48.0</v>
      </c>
      <c r="C8" s="71"/>
      <c r="D8" s="71"/>
      <c r="E8" s="71"/>
      <c r="F8" s="71"/>
      <c r="G8" s="71"/>
      <c r="H8" s="71"/>
      <c r="I8" s="71"/>
      <c r="J8" s="71"/>
    </row>
    <row r="9">
      <c r="A9" s="71"/>
      <c r="B9" s="71"/>
      <c r="C9" s="71"/>
      <c r="D9" s="71"/>
      <c r="E9" s="71"/>
      <c r="F9" s="71"/>
      <c r="G9" s="71"/>
      <c r="H9" s="71"/>
      <c r="I9" s="71"/>
      <c r="J9" s="71"/>
    </row>
    <row r="10">
      <c r="A10" s="70" t="s">
        <v>37</v>
      </c>
      <c r="B10" s="71"/>
      <c r="C10" s="71"/>
      <c r="D10" s="71"/>
      <c r="E10" s="71"/>
      <c r="F10" s="71"/>
      <c r="G10" s="71"/>
      <c r="H10" s="71"/>
      <c r="I10" s="71"/>
      <c r="J10" s="71"/>
    </row>
    <row r="11">
      <c r="A11" s="76"/>
      <c r="B11" s="72" t="s">
        <v>38</v>
      </c>
      <c r="C11" s="72" t="s">
        <v>39</v>
      </c>
      <c r="D11" s="72" t="s">
        <v>40</v>
      </c>
      <c r="E11" s="72" t="s">
        <v>41</v>
      </c>
      <c r="F11" s="72" t="s">
        <v>42</v>
      </c>
      <c r="G11" s="71"/>
      <c r="H11" s="71"/>
      <c r="I11" s="71"/>
      <c r="J11" s="71"/>
    </row>
    <row r="12">
      <c r="A12" s="70" t="s">
        <v>43</v>
      </c>
      <c r="B12" s="73">
        <v>1.0</v>
      </c>
      <c r="C12" s="73">
        <v>25916.76</v>
      </c>
      <c r="D12" s="73">
        <v>25916.76</v>
      </c>
      <c r="E12" s="73">
        <v>704.3259</v>
      </c>
      <c r="F12" s="77">
        <v>1.56E-29</v>
      </c>
      <c r="G12" s="71"/>
      <c r="H12" s="71"/>
      <c r="I12" s="71"/>
      <c r="J12" s="71"/>
    </row>
    <row r="13">
      <c r="A13" s="70" t="s">
        <v>44</v>
      </c>
      <c r="B13" s="73">
        <v>46.0</v>
      </c>
      <c r="C13" s="73">
        <v>1692.641</v>
      </c>
      <c r="D13" s="73">
        <v>36.79655</v>
      </c>
      <c r="E13" s="71"/>
      <c r="F13" s="71"/>
      <c r="G13" s="71"/>
      <c r="H13" s="71"/>
      <c r="I13" s="71"/>
      <c r="J13" s="71"/>
    </row>
    <row r="14">
      <c r="A14" s="74" t="s">
        <v>14</v>
      </c>
      <c r="B14" s="75">
        <v>47.0</v>
      </c>
      <c r="C14" s="75">
        <v>27609.4</v>
      </c>
      <c r="D14" s="78"/>
      <c r="E14" s="78"/>
      <c r="F14" s="78"/>
      <c r="G14" s="71"/>
      <c r="H14" s="71"/>
      <c r="I14" s="71"/>
      <c r="J14" s="71"/>
    </row>
    <row r="15">
      <c r="A15" s="71"/>
      <c r="B15" s="71"/>
      <c r="C15" s="71"/>
      <c r="D15" s="71"/>
      <c r="E15" s="71"/>
      <c r="F15" s="71"/>
      <c r="G15" s="71"/>
      <c r="H15" s="71"/>
      <c r="I15" s="71"/>
      <c r="J15" s="71"/>
    </row>
    <row r="16">
      <c r="A16" s="76"/>
      <c r="B16" s="72" t="s">
        <v>17</v>
      </c>
      <c r="C16" s="72" t="s">
        <v>35</v>
      </c>
      <c r="D16" s="72" t="s">
        <v>45</v>
      </c>
      <c r="E16" s="72" t="s">
        <v>46</v>
      </c>
      <c r="F16" s="72" t="s">
        <v>47</v>
      </c>
      <c r="G16" s="72" t="s">
        <v>48</v>
      </c>
      <c r="H16" s="72" t="s">
        <v>49</v>
      </c>
      <c r="I16" s="72" t="s">
        <v>50</v>
      </c>
      <c r="J16" s="71"/>
    </row>
    <row r="17">
      <c r="A17" s="70" t="s">
        <v>51</v>
      </c>
      <c r="B17" s="73">
        <v>603.4788808</v>
      </c>
      <c r="C17" s="73">
        <v>1.778832</v>
      </c>
      <c r="D17" s="73">
        <v>339.2558</v>
      </c>
      <c r="E17" s="77">
        <v>8.01E-80</v>
      </c>
      <c r="F17" s="73">
        <v>599.8983</v>
      </c>
      <c r="G17" s="73">
        <v>607.0595</v>
      </c>
      <c r="H17" s="73">
        <v>599.8983</v>
      </c>
      <c r="I17" s="73">
        <v>607.0595</v>
      </c>
      <c r="J17" s="71"/>
    </row>
    <row r="18">
      <c r="A18" s="74" t="s">
        <v>52</v>
      </c>
      <c r="B18" s="75">
        <v>1.677310202</v>
      </c>
      <c r="C18" s="75">
        <v>0.063201</v>
      </c>
      <c r="D18" s="75">
        <v>26.53914</v>
      </c>
      <c r="E18" s="79">
        <v>1.56E-29</v>
      </c>
      <c r="F18" s="75">
        <v>1.550092</v>
      </c>
      <c r="G18" s="75">
        <v>1.804528</v>
      </c>
      <c r="H18" s="75">
        <v>1.550092</v>
      </c>
      <c r="I18" s="75">
        <v>1.804528</v>
      </c>
      <c r="J18" s="71"/>
    </row>
    <row r="19">
      <c r="A19" s="71"/>
      <c r="B19" s="71"/>
      <c r="C19" s="71"/>
      <c r="D19" s="71"/>
      <c r="E19" s="71"/>
      <c r="F19" s="71"/>
      <c r="G19" s="71"/>
      <c r="H19" s="71"/>
      <c r="I19" s="71"/>
      <c r="J19" s="71"/>
    </row>
  </sheetData>
  <mergeCells count="2">
    <mergeCell ref="A1:B1"/>
    <mergeCell ref="A3:B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2.29"/>
    <col customWidth="1" min="6" max="6" width="16.86"/>
    <col customWidth="1" min="11" max="11" width="21.29"/>
    <col customWidth="1" min="12" max="12" width="21.86"/>
    <col customWidth="1" min="14" max="14" width="16.14"/>
  </cols>
  <sheetData>
    <row r="1" ht="51.0" customHeight="1">
      <c r="A1" s="80" t="s">
        <v>2</v>
      </c>
      <c r="B1" s="81" t="s">
        <v>53</v>
      </c>
      <c r="C1" s="82"/>
      <c r="D1" s="83" t="s">
        <v>1</v>
      </c>
      <c r="E1" s="84" t="s">
        <v>2</v>
      </c>
      <c r="F1" s="85" t="s">
        <v>22</v>
      </c>
      <c r="G1" s="86" t="s">
        <v>3</v>
      </c>
      <c r="H1" s="86" t="s">
        <v>5</v>
      </c>
      <c r="I1" s="86" t="s">
        <v>6</v>
      </c>
      <c r="J1" s="87" t="s">
        <v>54</v>
      </c>
      <c r="K1" s="86" t="s">
        <v>55</v>
      </c>
      <c r="L1" s="87" t="s">
        <v>9</v>
      </c>
      <c r="M1" s="86" t="s">
        <v>10</v>
      </c>
      <c r="N1" s="88" t="s">
        <v>56</v>
      </c>
      <c r="O1" s="89" t="s">
        <v>12</v>
      </c>
      <c r="P1" s="90" t="s">
        <v>13</v>
      </c>
      <c r="Q1" s="82"/>
      <c r="R1" s="82"/>
      <c r="S1" s="82"/>
      <c r="T1" s="82"/>
      <c r="U1" s="82"/>
      <c r="V1" s="82"/>
      <c r="W1" s="82"/>
      <c r="X1" s="82"/>
    </row>
    <row r="2">
      <c r="A2" s="91">
        <v>22647.0</v>
      </c>
      <c r="B2" s="92">
        <v>589.0</v>
      </c>
      <c r="C2" s="82"/>
      <c r="D2" s="93">
        <v>1962.0</v>
      </c>
      <c r="E2" s="94">
        <v>1.0</v>
      </c>
      <c r="F2" s="92">
        <v>589.0</v>
      </c>
      <c r="G2" s="94">
        <v>1.0</v>
      </c>
      <c r="H2" s="95"/>
      <c r="I2" s="95"/>
      <c r="J2" s="95"/>
      <c r="K2" s="95">
        <v>-0.025623573796152654</v>
      </c>
      <c r="L2" s="95">
        <f t="shared" ref="L2:L49" si="1">F2-K2</f>
        <v>589.0256236</v>
      </c>
      <c r="M2" s="95">
        <f t="shared" ref="M2:M49" si="2">$O$56+($O$57*G2)</f>
        <v>615.816638</v>
      </c>
      <c r="N2" s="95">
        <f t="shared" ref="N2:N49" si="3">K2+M2</f>
        <v>615.7910144</v>
      </c>
      <c r="O2" s="95">
        <f t="shared" ref="O2:O49" si="4">F2-N2</f>
        <v>-26.79101443</v>
      </c>
      <c r="P2" s="95">
        <f t="shared" ref="P2:P49" si="5">O2^2</f>
        <v>717.758454</v>
      </c>
      <c r="Q2" s="82"/>
      <c r="R2" s="82"/>
      <c r="S2" s="82"/>
      <c r="T2" s="82"/>
      <c r="U2" s="82"/>
      <c r="V2" s="82"/>
      <c r="W2" s="82"/>
      <c r="X2" s="82"/>
    </row>
    <row r="3">
      <c r="A3" s="91">
        <v>22678.0</v>
      </c>
      <c r="B3" s="92">
        <v>561.0</v>
      </c>
      <c r="C3" s="82"/>
      <c r="D3" s="10"/>
      <c r="E3" s="94">
        <v>2.0</v>
      </c>
      <c r="F3" s="92">
        <v>589.0</v>
      </c>
      <c r="G3" s="94">
        <v>2.0</v>
      </c>
      <c r="H3" s="95"/>
      <c r="I3" s="95"/>
      <c r="J3" s="95"/>
      <c r="K3" s="95">
        <v>-0.07019703063138005</v>
      </c>
      <c r="L3" s="95">
        <f t="shared" si="1"/>
        <v>589.070197</v>
      </c>
      <c r="M3" s="95">
        <f t="shared" si="2"/>
        <v>617.032776</v>
      </c>
      <c r="N3" s="95">
        <f t="shared" si="3"/>
        <v>616.962579</v>
      </c>
      <c r="O3" s="95">
        <f t="shared" si="4"/>
        <v>-27.96257897</v>
      </c>
      <c r="P3" s="95">
        <f t="shared" si="5"/>
        <v>781.9058226</v>
      </c>
      <c r="Q3" s="82"/>
      <c r="R3" s="82"/>
      <c r="S3" s="82"/>
      <c r="T3" s="82"/>
      <c r="U3" s="82"/>
      <c r="V3" s="82"/>
      <c r="W3" s="82"/>
      <c r="X3" s="82"/>
    </row>
    <row r="4">
      <c r="A4" s="91">
        <v>22706.0</v>
      </c>
      <c r="B4" s="92">
        <v>640.0</v>
      </c>
      <c r="C4" s="82"/>
      <c r="D4" s="10"/>
      <c r="E4" s="94">
        <v>3.0</v>
      </c>
      <c r="F4" s="92">
        <v>640.0</v>
      </c>
      <c r="G4" s="94">
        <v>3.0</v>
      </c>
      <c r="H4" s="95"/>
      <c r="I4" s="95"/>
      <c r="J4" s="95"/>
      <c r="K4" s="95">
        <v>0.05439019772936016</v>
      </c>
      <c r="L4" s="95">
        <f t="shared" si="1"/>
        <v>639.9456098</v>
      </c>
      <c r="M4" s="95">
        <f t="shared" si="2"/>
        <v>618.248914</v>
      </c>
      <c r="N4" s="95">
        <f t="shared" si="3"/>
        <v>618.3033042</v>
      </c>
      <c r="O4" s="95">
        <f t="shared" si="4"/>
        <v>21.6966958</v>
      </c>
      <c r="P4" s="95">
        <f t="shared" si="5"/>
        <v>470.7466087</v>
      </c>
      <c r="Q4" s="82"/>
      <c r="R4" s="82"/>
      <c r="S4" s="82"/>
      <c r="T4" s="82"/>
      <c r="U4" s="82"/>
      <c r="V4" s="82"/>
      <c r="W4" s="82"/>
      <c r="X4" s="82"/>
    </row>
    <row r="5">
      <c r="A5" s="91">
        <v>22737.0</v>
      </c>
      <c r="B5" s="92">
        <v>656.0</v>
      </c>
      <c r="C5" s="82"/>
      <c r="D5" s="10"/>
      <c r="E5" s="94">
        <v>4.0</v>
      </c>
      <c r="F5" s="92">
        <v>656.0</v>
      </c>
      <c r="G5" s="94">
        <v>4.0</v>
      </c>
      <c r="H5" s="95"/>
      <c r="I5" s="95"/>
      <c r="J5" s="95"/>
      <c r="K5" s="95">
        <v>0.07740177531848791</v>
      </c>
      <c r="L5" s="95">
        <f t="shared" si="1"/>
        <v>655.9225982</v>
      </c>
      <c r="M5" s="95">
        <f t="shared" si="2"/>
        <v>619.465052</v>
      </c>
      <c r="N5" s="95">
        <f t="shared" si="3"/>
        <v>619.5424538</v>
      </c>
      <c r="O5" s="95">
        <f t="shared" si="4"/>
        <v>36.45754622</v>
      </c>
      <c r="P5" s="95">
        <f t="shared" si="5"/>
        <v>1329.152677</v>
      </c>
      <c r="Q5" s="82"/>
      <c r="R5" s="82"/>
      <c r="S5" s="82"/>
      <c r="T5" s="82"/>
      <c r="U5" s="82"/>
      <c r="V5" s="82"/>
      <c r="W5" s="82"/>
      <c r="X5" s="82"/>
    </row>
    <row r="6">
      <c r="A6" s="91">
        <v>22767.0</v>
      </c>
      <c r="B6" s="92">
        <v>727.0</v>
      </c>
      <c r="C6" s="82"/>
      <c r="D6" s="10"/>
      <c r="E6" s="94">
        <v>5.0</v>
      </c>
      <c r="F6" s="92">
        <v>727.0</v>
      </c>
      <c r="G6" s="94">
        <v>5.0</v>
      </c>
      <c r="H6" s="95"/>
      <c r="I6" s="95"/>
      <c r="J6" s="95"/>
      <c r="K6" s="95">
        <v>0.1753621243754615</v>
      </c>
      <c r="L6" s="95">
        <f t="shared" si="1"/>
        <v>726.8246379</v>
      </c>
      <c r="M6" s="95">
        <f t="shared" si="2"/>
        <v>620.68119</v>
      </c>
      <c r="N6" s="95">
        <f t="shared" si="3"/>
        <v>620.8565521</v>
      </c>
      <c r="O6" s="95">
        <f t="shared" si="4"/>
        <v>106.1434479</v>
      </c>
      <c r="P6" s="95">
        <f t="shared" si="5"/>
        <v>11266.43153</v>
      </c>
      <c r="Q6" s="82"/>
      <c r="R6" s="82"/>
      <c r="S6" s="82"/>
      <c r="T6" s="82"/>
      <c r="U6" s="82"/>
      <c r="V6" s="82"/>
      <c r="W6" s="82"/>
      <c r="X6" s="82"/>
    </row>
    <row r="7">
      <c r="A7" s="91">
        <v>22798.0</v>
      </c>
      <c r="B7" s="92">
        <v>697.0</v>
      </c>
      <c r="C7" s="82"/>
      <c r="D7" s="10"/>
      <c r="E7" s="94">
        <v>6.0</v>
      </c>
      <c r="F7" s="92">
        <v>697.0</v>
      </c>
      <c r="G7" s="94">
        <v>6.0</v>
      </c>
      <c r="H7" s="95"/>
      <c r="I7" s="95"/>
      <c r="J7" s="95"/>
      <c r="K7" s="95">
        <v>0.127930095325828</v>
      </c>
      <c r="L7" s="95">
        <f t="shared" si="1"/>
        <v>696.8720699</v>
      </c>
      <c r="M7" s="95">
        <f t="shared" si="2"/>
        <v>621.897328</v>
      </c>
      <c r="N7" s="95">
        <f t="shared" si="3"/>
        <v>622.0252581</v>
      </c>
      <c r="O7" s="95">
        <f t="shared" si="4"/>
        <v>74.9747419</v>
      </c>
      <c r="P7" s="95">
        <f t="shared" si="5"/>
        <v>5621.211924</v>
      </c>
      <c r="Q7" s="82"/>
      <c r="R7" s="82"/>
      <c r="S7" s="82"/>
      <c r="T7" s="82"/>
      <c r="U7" s="82"/>
      <c r="V7" s="82"/>
      <c r="W7" s="82"/>
      <c r="X7" s="82"/>
    </row>
    <row r="8">
      <c r="A8" s="91">
        <v>22828.0</v>
      </c>
      <c r="B8" s="92">
        <v>640.0</v>
      </c>
      <c r="C8" s="82"/>
      <c r="D8" s="10"/>
      <c r="E8" s="94">
        <v>7.0</v>
      </c>
      <c r="F8" s="92">
        <v>640.0</v>
      </c>
      <c r="G8" s="94">
        <v>7.0</v>
      </c>
      <c r="H8" s="95"/>
      <c r="I8" s="95"/>
      <c r="J8" s="95"/>
      <c r="K8" s="95">
        <v>0.038200579992476724</v>
      </c>
      <c r="L8" s="95">
        <f t="shared" si="1"/>
        <v>639.9617994</v>
      </c>
      <c r="M8" s="95">
        <f t="shared" si="2"/>
        <v>623.113466</v>
      </c>
      <c r="N8" s="95">
        <f t="shared" si="3"/>
        <v>623.1516666</v>
      </c>
      <c r="O8" s="95">
        <f t="shared" si="4"/>
        <v>16.84833342</v>
      </c>
      <c r="P8" s="95">
        <f t="shared" si="5"/>
        <v>283.866339</v>
      </c>
      <c r="Q8" s="82"/>
      <c r="R8" s="82"/>
      <c r="S8" s="82"/>
      <c r="T8" s="82"/>
      <c r="U8" s="82"/>
      <c r="V8" s="82"/>
      <c r="W8" s="82"/>
      <c r="X8" s="82"/>
    </row>
    <row r="9">
      <c r="A9" s="91">
        <v>22859.0</v>
      </c>
      <c r="B9" s="92">
        <v>599.0</v>
      </c>
      <c r="C9" s="82"/>
      <c r="D9" s="10"/>
      <c r="E9" s="95">
        <v>8.0</v>
      </c>
      <c r="F9" s="92">
        <v>599.0</v>
      </c>
      <c r="G9" s="94">
        <v>8.0</v>
      </c>
      <c r="H9" s="95"/>
      <c r="I9" s="95"/>
      <c r="J9" s="95"/>
      <c r="K9" s="96">
        <v>-0.03177736513867435</v>
      </c>
      <c r="L9" s="95">
        <f t="shared" si="1"/>
        <v>599.0317774</v>
      </c>
      <c r="M9" s="95">
        <f t="shared" si="2"/>
        <v>624.329604</v>
      </c>
      <c r="N9" s="95">
        <f t="shared" si="3"/>
        <v>624.2978266</v>
      </c>
      <c r="O9" s="95">
        <f t="shared" si="4"/>
        <v>-25.29782663</v>
      </c>
      <c r="P9" s="95">
        <f t="shared" si="5"/>
        <v>639.9800324</v>
      </c>
      <c r="Q9" s="82"/>
      <c r="R9" s="82"/>
      <c r="S9" s="82"/>
      <c r="T9" s="82"/>
      <c r="U9" s="82"/>
      <c r="V9" s="82"/>
      <c r="W9" s="82"/>
      <c r="X9" s="82"/>
    </row>
    <row r="10">
      <c r="A10" s="91">
        <v>22890.0</v>
      </c>
      <c r="B10" s="92">
        <v>568.0</v>
      </c>
      <c r="C10" s="82"/>
      <c r="D10" s="10"/>
      <c r="E10" s="95">
        <v>9.0</v>
      </c>
      <c r="F10" s="92">
        <v>568.0</v>
      </c>
      <c r="G10" s="94">
        <v>9.0</v>
      </c>
      <c r="H10" s="95"/>
      <c r="I10" s="95"/>
      <c r="J10" s="95"/>
      <c r="K10" s="96">
        <v>-0.08881942889669514</v>
      </c>
      <c r="L10" s="95">
        <f t="shared" si="1"/>
        <v>568.0888194</v>
      </c>
      <c r="M10" s="95">
        <f t="shared" si="2"/>
        <v>625.545742</v>
      </c>
      <c r="N10" s="95">
        <f t="shared" si="3"/>
        <v>625.4569226</v>
      </c>
      <c r="O10" s="95">
        <f t="shared" si="4"/>
        <v>-57.45692257</v>
      </c>
      <c r="P10" s="95">
        <f t="shared" si="5"/>
        <v>3301.297951</v>
      </c>
      <c r="Q10" s="82"/>
      <c r="R10" s="82"/>
      <c r="S10" s="82"/>
      <c r="T10" s="82"/>
      <c r="U10" s="82"/>
      <c r="V10" s="82"/>
      <c r="W10" s="82"/>
      <c r="X10" s="82"/>
    </row>
    <row r="11">
      <c r="A11" s="97">
        <v>22920.0</v>
      </c>
      <c r="B11" s="92">
        <v>577.0</v>
      </c>
      <c r="C11" s="82"/>
      <c r="D11" s="10"/>
      <c r="E11" s="95">
        <v>10.0</v>
      </c>
      <c r="F11" s="92">
        <v>577.0</v>
      </c>
      <c r="G11" s="94">
        <v>10.0</v>
      </c>
      <c r="H11" s="95"/>
      <c r="I11" s="95"/>
      <c r="J11" s="95"/>
      <c r="K11" s="96">
        <v>-0.08194314932533808</v>
      </c>
      <c r="L11" s="95">
        <f t="shared" si="1"/>
        <v>577.0819431</v>
      </c>
      <c r="M11" s="95">
        <f t="shared" si="2"/>
        <v>626.76188</v>
      </c>
      <c r="N11" s="95">
        <f t="shared" si="3"/>
        <v>626.6799369</v>
      </c>
      <c r="O11" s="95">
        <f t="shared" si="4"/>
        <v>-49.67993685</v>
      </c>
      <c r="P11" s="95">
        <f t="shared" si="5"/>
        <v>2468.096125</v>
      </c>
      <c r="Q11" s="82"/>
      <c r="R11" s="82"/>
      <c r="S11" s="82"/>
      <c r="T11" s="82"/>
      <c r="U11" s="82"/>
      <c r="V11" s="82"/>
      <c r="W11" s="82"/>
      <c r="X11" s="82"/>
    </row>
    <row r="12">
      <c r="A12" s="97">
        <v>22951.0</v>
      </c>
      <c r="B12" s="92">
        <v>553.0</v>
      </c>
      <c r="C12" s="82"/>
      <c r="D12" s="10"/>
      <c r="E12" s="95">
        <v>11.0</v>
      </c>
      <c r="F12" s="92">
        <v>553.0</v>
      </c>
      <c r="G12" s="94">
        <v>11.0</v>
      </c>
      <c r="H12" s="95"/>
      <c r="I12" s="95"/>
      <c r="J12" s="95"/>
      <c r="K12" s="96">
        <v>-0.11354211847872098</v>
      </c>
      <c r="L12" s="95">
        <f t="shared" si="1"/>
        <v>553.1135421</v>
      </c>
      <c r="M12" s="95">
        <f t="shared" si="2"/>
        <v>627.978018</v>
      </c>
      <c r="N12" s="95">
        <f t="shared" si="3"/>
        <v>627.8644759</v>
      </c>
      <c r="O12" s="95">
        <f t="shared" si="4"/>
        <v>-74.86447588</v>
      </c>
      <c r="P12" s="95">
        <f t="shared" si="5"/>
        <v>5604.689749</v>
      </c>
      <c r="Q12" s="82"/>
      <c r="R12" s="82"/>
      <c r="S12" s="82"/>
      <c r="T12" s="82"/>
      <c r="U12" s="82"/>
      <c r="V12" s="82"/>
      <c r="W12" s="82"/>
      <c r="X12" s="82"/>
    </row>
    <row r="13">
      <c r="A13" s="97">
        <v>22981.0</v>
      </c>
      <c r="B13" s="92">
        <v>582.0</v>
      </c>
      <c r="C13" s="82"/>
      <c r="D13" s="13"/>
      <c r="E13" s="95">
        <v>12.0</v>
      </c>
      <c r="F13" s="92">
        <v>582.0</v>
      </c>
      <c r="G13" s="94">
        <v>12.0</v>
      </c>
      <c r="H13" s="95"/>
      <c r="I13" s="95"/>
      <c r="J13" s="95"/>
      <c r="K13" s="96">
        <v>-0.06138210647465325</v>
      </c>
      <c r="L13" s="95">
        <f t="shared" si="1"/>
        <v>582.0613821</v>
      </c>
      <c r="M13" s="95">
        <f t="shared" si="2"/>
        <v>629.194156</v>
      </c>
      <c r="N13" s="95">
        <f t="shared" si="3"/>
        <v>629.1327739</v>
      </c>
      <c r="O13" s="95">
        <f t="shared" si="4"/>
        <v>-47.13277389</v>
      </c>
      <c r="P13" s="95">
        <f t="shared" si="5"/>
        <v>2221.498375</v>
      </c>
      <c r="Q13" s="82"/>
      <c r="R13" s="82"/>
      <c r="S13" s="82"/>
      <c r="T13" s="82"/>
      <c r="U13" s="82"/>
      <c r="V13" s="82"/>
      <c r="W13" s="82"/>
      <c r="X13" s="82"/>
    </row>
    <row r="14">
      <c r="A14" s="98">
        <v>23012.0</v>
      </c>
      <c r="B14" s="99">
        <v>600.0</v>
      </c>
      <c r="C14" s="82"/>
      <c r="D14" s="100">
        <v>1963.0</v>
      </c>
      <c r="E14" s="101">
        <v>1.0</v>
      </c>
      <c r="F14" s="99">
        <v>600.0</v>
      </c>
      <c r="G14" s="102">
        <v>13.0</v>
      </c>
      <c r="H14" s="101">
        <f t="shared" ref="H14:H49" si="6">average(F2:F13)</f>
        <v>618.0833333</v>
      </c>
      <c r="I14" s="101">
        <f t="shared" ref="I14:I49" si="7">average(H14:H15)</f>
        <v>618.5416667</v>
      </c>
      <c r="J14" s="101">
        <f t="shared" ref="J14:J49" si="8">F14-I14</f>
        <v>-18.54166667</v>
      </c>
      <c r="K14" s="101">
        <v>-0.025623573796152654</v>
      </c>
      <c r="L14" s="101">
        <f t="shared" si="1"/>
        <v>600.0256236</v>
      </c>
      <c r="M14" s="101">
        <f t="shared" si="2"/>
        <v>630.410294</v>
      </c>
      <c r="N14" s="101">
        <f t="shared" si="3"/>
        <v>630.3846704</v>
      </c>
      <c r="O14" s="101">
        <f t="shared" si="4"/>
        <v>-30.38467043</v>
      </c>
      <c r="P14" s="101">
        <f t="shared" si="5"/>
        <v>923.2281969</v>
      </c>
      <c r="Q14" s="82"/>
      <c r="R14" s="82"/>
      <c r="S14" s="82"/>
      <c r="T14" s="82"/>
      <c r="U14" s="82"/>
      <c r="V14" s="82"/>
      <c r="W14" s="82"/>
      <c r="X14" s="82"/>
    </row>
    <row r="15">
      <c r="A15" s="98">
        <v>23043.0</v>
      </c>
      <c r="B15" s="99">
        <v>566.0</v>
      </c>
      <c r="C15" s="82"/>
      <c r="D15" s="10"/>
      <c r="E15" s="101">
        <v>2.0</v>
      </c>
      <c r="F15" s="99">
        <v>566.0</v>
      </c>
      <c r="G15" s="102">
        <v>14.0</v>
      </c>
      <c r="H15" s="101">
        <f t="shared" si="6"/>
        <v>619</v>
      </c>
      <c r="I15" s="101">
        <f t="shared" si="7"/>
        <v>618.0416667</v>
      </c>
      <c r="J15" s="101">
        <f t="shared" si="8"/>
        <v>-52.04166667</v>
      </c>
      <c r="K15" s="103">
        <v>-0.07019703063138005</v>
      </c>
      <c r="L15" s="101">
        <f t="shared" si="1"/>
        <v>566.070197</v>
      </c>
      <c r="M15" s="101">
        <f t="shared" si="2"/>
        <v>631.626432</v>
      </c>
      <c r="N15" s="101">
        <f t="shared" si="3"/>
        <v>631.556235</v>
      </c>
      <c r="O15" s="101">
        <f t="shared" si="4"/>
        <v>-65.55623497</v>
      </c>
      <c r="P15" s="101">
        <f t="shared" si="5"/>
        <v>4297.619943</v>
      </c>
      <c r="Q15" s="82"/>
      <c r="R15" s="82"/>
      <c r="S15" s="82"/>
      <c r="T15" s="82"/>
      <c r="U15" s="82"/>
      <c r="V15" s="82"/>
      <c r="W15" s="82"/>
      <c r="X15" s="82"/>
    </row>
    <row r="16">
      <c r="A16" s="98">
        <v>23071.0</v>
      </c>
      <c r="B16" s="99">
        <v>653.0</v>
      </c>
      <c r="C16" s="82"/>
      <c r="D16" s="10"/>
      <c r="E16" s="101">
        <v>3.0</v>
      </c>
      <c r="F16" s="99">
        <v>653.0</v>
      </c>
      <c r="G16" s="102">
        <v>15.0</v>
      </c>
      <c r="H16" s="101">
        <f t="shared" si="6"/>
        <v>617.0833333</v>
      </c>
      <c r="I16" s="101">
        <f t="shared" si="7"/>
        <v>617.625</v>
      </c>
      <c r="J16" s="101">
        <f t="shared" si="8"/>
        <v>35.375</v>
      </c>
      <c r="K16" s="104">
        <v>0.05439019772936016</v>
      </c>
      <c r="L16" s="101">
        <f t="shared" si="1"/>
        <v>652.9456098</v>
      </c>
      <c r="M16" s="101">
        <f t="shared" si="2"/>
        <v>632.84257</v>
      </c>
      <c r="N16" s="101">
        <f t="shared" si="3"/>
        <v>632.8969602</v>
      </c>
      <c r="O16" s="101">
        <f t="shared" si="4"/>
        <v>20.1030398</v>
      </c>
      <c r="P16" s="101">
        <f t="shared" si="5"/>
        <v>404.1322093</v>
      </c>
      <c r="Q16" s="82"/>
      <c r="R16" s="82"/>
      <c r="S16" s="82"/>
      <c r="T16" s="82"/>
      <c r="U16" s="82"/>
      <c r="V16" s="82"/>
      <c r="W16" s="82"/>
      <c r="X16" s="82"/>
    </row>
    <row r="17">
      <c r="A17" s="98">
        <v>23102.0</v>
      </c>
      <c r="B17" s="99">
        <v>673.0</v>
      </c>
      <c r="C17" s="82"/>
      <c r="D17" s="10"/>
      <c r="E17" s="101">
        <v>4.0</v>
      </c>
      <c r="F17" s="99">
        <v>673.0</v>
      </c>
      <c r="G17" s="102">
        <v>16.0</v>
      </c>
      <c r="H17" s="101">
        <f t="shared" si="6"/>
        <v>618.1666667</v>
      </c>
      <c r="I17" s="101">
        <f t="shared" si="7"/>
        <v>618.875</v>
      </c>
      <c r="J17" s="101">
        <f t="shared" si="8"/>
        <v>54.125</v>
      </c>
      <c r="K17" s="103">
        <v>0.07740177531848791</v>
      </c>
      <c r="L17" s="101">
        <f t="shared" si="1"/>
        <v>672.9225982</v>
      </c>
      <c r="M17" s="101">
        <f t="shared" si="2"/>
        <v>634.058708</v>
      </c>
      <c r="N17" s="101">
        <f t="shared" si="3"/>
        <v>634.1361098</v>
      </c>
      <c r="O17" s="101">
        <f t="shared" si="4"/>
        <v>38.86389022</v>
      </c>
      <c r="P17" s="101">
        <f t="shared" si="5"/>
        <v>1510.401963</v>
      </c>
      <c r="Q17" s="82"/>
      <c r="R17" s="82"/>
      <c r="S17" s="82"/>
      <c r="T17" s="82"/>
      <c r="U17" s="82"/>
      <c r="V17" s="82"/>
      <c r="W17" s="82"/>
      <c r="X17" s="82"/>
    </row>
    <row r="18">
      <c r="A18" s="98">
        <v>23132.0</v>
      </c>
      <c r="B18" s="99">
        <v>742.0</v>
      </c>
      <c r="C18" s="82"/>
      <c r="D18" s="10"/>
      <c r="E18" s="101">
        <v>5.0</v>
      </c>
      <c r="F18" s="99">
        <v>742.0</v>
      </c>
      <c r="G18" s="102">
        <v>17.0</v>
      </c>
      <c r="H18" s="101">
        <f t="shared" si="6"/>
        <v>619.5833333</v>
      </c>
      <c r="I18" s="101">
        <f t="shared" si="7"/>
        <v>620.2083333</v>
      </c>
      <c r="J18" s="101">
        <f t="shared" si="8"/>
        <v>121.7916667</v>
      </c>
      <c r="K18" s="103">
        <v>0.1753621243754615</v>
      </c>
      <c r="L18" s="101">
        <f t="shared" si="1"/>
        <v>741.8246379</v>
      </c>
      <c r="M18" s="101">
        <f t="shared" si="2"/>
        <v>635.274846</v>
      </c>
      <c r="N18" s="101">
        <f t="shared" si="3"/>
        <v>635.4502081</v>
      </c>
      <c r="O18" s="101">
        <f t="shared" si="4"/>
        <v>106.5497919</v>
      </c>
      <c r="P18" s="101">
        <f t="shared" si="5"/>
        <v>11352.85815</v>
      </c>
      <c r="Q18" s="82"/>
      <c r="R18" s="82"/>
      <c r="S18" s="82"/>
      <c r="T18" s="82"/>
      <c r="U18" s="82"/>
      <c r="V18" s="82"/>
      <c r="W18" s="82"/>
      <c r="X18" s="82"/>
    </row>
    <row r="19">
      <c r="A19" s="98">
        <v>23163.0</v>
      </c>
      <c r="B19" s="99">
        <v>716.0</v>
      </c>
      <c r="C19" s="82"/>
      <c r="D19" s="10"/>
      <c r="E19" s="101">
        <v>6.0</v>
      </c>
      <c r="F19" s="99">
        <v>716.0</v>
      </c>
      <c r="G19" s="102">
        <v>18.0</v>
      </c>
      <c r="H19" s="101">
        <f t="shared" si="6"/>
        <v>620.8333333</v>
      </c>
      <c r="I19" s="101">
        <f t="shared" si="7"/>
        <v>621.625</v>
      </c>
      <c r="J19" s="101">
        <f t="shared" si="8"/>
        <v>94.375</v>
      </c>
      <c r="K19" s="103">
        <v>0.127930095325828</v>
      </c>
      <c r="L19" s="101">
        <f t="shared" si="1"/>
        <v>715.8720699</v>
      </c>
      <c r="M19" s="101">
        <f t="shared" si="2"/>
        <v>636.490984</v>
      </c>
      <c r="N19" s="101">
        <f t="shared" si="3"/>
        <v>636.6189141</v>
      </c>
      <c r="O19" s="101">
        <f t="shared" si="4"/>
        <v>79.3810859</v>
      </c>
      <c r="P19" s="101">
        <f t="shared" si="5"/>
        <v>6301.356799</v>
      </c>
      <c r="Q19" s="82"/>
      <c r="R19" s="82"/>
      <c r="S19" s="82"/>
      <c r="T19" s="82"/>
      <c r="U19" s="82"/>
      <c r="V19" s="82"/>
      <c r="W19" s="82"/>
      <c r="X19" s="82"/>
    </row>
    <row r="20">
      <c r="A20" s="98">
        <v>23193.0</v>
      </c>
      <c r="B20" s="99">
        <v>660.0</v>
      </c>
      <c r="C20" s="82"/>
      <c r="D20" s="10"/>
      <c r="E20" s="101">
        <v>7.0</v>
      </c>
      <c r="F20" s="99">
        <v>660.0</v>
      </c>
      <c r="G20" s="102">
        <v>19.0</v>
      </c>
      <c r="H20" s="101">
        <f t="shared" si="6"/>
        <v>622.4166667</v>
      </c>
      <c r="I20" s="101">
        <f t="shared" si="7"/>
        <v>623.25</v>
      </c>
      <c r="J20" s="101">
        <f t="shared" si="8"/>
        <v>36.75</v>
      </c>
      <c r="K20" s="103">
        <v>0.038200579992476724</v>
      </c>
      <c r="L20" s="101">
        <f t="shared" si="1"/>
        <v>659.9617994</v>
      </c>
      <c r="M20" s="101">
        <f t="shared" si="2"/>
        <v>637.707122</v>
      </c>
      <c r="N20" s="101">
        <f t="shared" si="3"/>
        <v>637.7453226</v>
      </c>
      <c r="O20" s="101">
        <f t="shared" si="4"/>
        <v>22.25467742</v>
      </c>
      <c r="P20" s="101">
        <f t="shared" si="5"/>
        <v>495.2706671</v>
      </c>
      <c r="Q20" s="82"/>
      <c r="R20" s="82"/>
      <c r="S20" s="82"/>
      <c r="T20" s="82"/>
      <c r="U20" s="82"/>
      <c r="V20" s="82"/>
      <c r="W20" s="82"/>
      <c r="X20" s="82"/>
    </row>
    <row r="21">
      <c r="A21" s="98">
        <v>23224.0</v>
      </c>
      <c r="B21" s="99">
        <v>617.0</v>
      </c>
      <c r="C21" s="82"/>
      <c r="D21" s="10"/>
      <c r="E21" s="101">
        <v>8.0</v>
      </c>
      <c r="F21" s="99">
        <v>617.0</v>
      </c>
      <c r="G21" s="102">
        <v>20.0</v>
      </c>
      <c r="H21" s="101">
        <f t="shared" si="6"/>
        <v>624.0833333</v>
      </c>
      <c r="I21" s="101">
        <f t="shared" si="7"/>
        <v>624.8333333</v>
      </c>
      <c r="J21" s="101">
        <f t="shared" si="8"/>
        <v>-7.833333333</v>
      </c>
      <c r="K21" s="103">
        <v>-0.03177736513867435</v>
      </c>
      <c r="L21" s="101">
        <f t="shared" si="1"/>
        <v>617.0317774</v>
      </c>
      <c r="M21" s="101">
        <f t="shared" si="2"/>
        <v>638.92326</v>
      </c>
      <c r="N21" s="101">
        <f t="shared" si="3"/>
        <v>638.8914826</v>
      </c>
      <c r="O21" s="101">
        <f t="shared" si="4"/>
        <v>-21.89148263</v>
      </c>
      <c r="P21" s="101">
        <f t="shared" si="5"/>
        <v>479.237012</v>
      </c>
      <c r="Q21" s="82"/>
      <c r="R21" s="82"/>
      <c r="S21" s="82"/>
      <c r="T21" s="82"/>
      <c r="U21" s="82"/>
      <c r="V21" s="82"/>
      <c r="W21" s="82"/>
      <c r="X21" s="82"/>
    </row>
    <row r="22">
      <c r="A22" s="98">
        <v>23255.0</v>
      </c>
      <c r="B22" s="99">
        <v>583.0</v>
      </c>
      <c r="C22" s="82"/>
      <c r="D22" s="10"/>
      <c r="E22" s="101">
        <v>9.0</v>
      </c>
      <c r="F22" s="99">
        <v>583.0</v>
      </c>
      <c r="G22" s="102">
        <v>21.0</v>
      </c>
      <c r="H22" s="101">
        <f t="shared" si="6"/>
        <v>625.5833333</v>
      </c>
      <c r="I22" s="101">
        <f t="shared" si="7"/>
        <v>626.2083333</v>
      </c>
      <c r="J22" s="101">
        <f t="shared" si="8"/>
        <v>-43.20833333</v>
      </c>
      <c r="K22" s="103">
        <v>-0.08881942889669514</v>
      </c>
      <c r="L22" s="101">
        <f t="shared" si="1"/>
        <v>583.0888194</v>
      </c>
      <c r="M22" s="101">
        <f t="shared" si="2"/>
        <v>640.139398</v>
      </c>
      <c r="N22" s="101">
        <f t="shared" si="3"/>
        <v>640.0505786</v>
      </c>
      <c r="O22" s="101">
        <f t="shared" si="4"/>
        <v>-57.05057857</v>
      </c>
      <c r="P22" s="101">
        <f t="shared" si="5"/>
        <v>3254.768515</v>
      </c>
      <c r="Q22" s="82"/>
      <c r="R22" s="82"/>
      <c r="S22" s="82"/>
      <c r="T22" s="82"/>
      <c r="U22" s="82"/>
      <c r="V22" s="82"/>
      <c r="W22" s="82"/>
      <c r="X22" s="82"/>
    </row>
    <row r="23">
      <c r="A23" s="105">
        <v>23285.0</v>
      </c>
      <c r="B23" s="101">
        <v>587.0</v>
      </c>
      <c r="C23" s="82"/>
      <c r="D23" s="10"/>
      <c r="E23" s="102">
        <v>10.0</v>
      </c>
      <c r="F23" s="101">
        <v>587.0</v>
      </c>
      <c r="G23" s="102">
        <v>22.0</v>
      </c>
      <c r="H23" s="101">
        <f t="shared" si="6"/>
        <v>626.8333333</v>
      </c>
      <c r="I23" s="101">
        <f t="shared" si="7"/>
        <v>627.25</v>
      </c>
      <c r="J23" s="101">
        <f t="shared" si="8"/>
        <v>-40.25</v>
      </c>
      <c r="K23" s="101">
        <v>-0.08194314932533808</v>
      </c>
      <c r="L23" s="101">
        <f t="shared" si="1"/>
        <v>587.0819431</v>
      </c>
      <c r="M23" s="101">
        <f t="shared" si="2"/>
        <v>641.355536</v>
      </c>
      <c r="N23" s="101">
        <f t="shared" si="3"/>
        <v>641.2735929</v>
      </c>
      <c r="O23" s="101">
        <f t="shared" si="4"/>
        <v>-54.27359285</v>
      </c>
      <c r="P23" s="101">
        <f t="shared" si="5"/>
        <v>2945.622881</v>
      </c>
      <c r="Q23" s="82"/>
      <c r="R23" s="82"/>
      <c r="S23" s="82"/>
      <c r="T23" s="82"/>
      <c r="U23" s="82"/>
      <c r="V23" s="82"/>
      <c r="W23" s="82"/>
      <c r="X23" s="82"/>
    </row>
    <row r="24">
      <c r="A24" s="106">
        <v>23316.0</v>
      </c>
      <c r="B24" s="99">
        <v>565.0</v>
      </c>
      <c r="C24" s="82"/>
      <c r="D24" s="10"/>
      <c r="E24" s="101">
        <v>11.0</v>
      </c>
      <c r="F24" s="99">
        <v>565.0</v>
      </c>
      <c r="G24" s="102">
        <v>23.0</v>
      </c>
      <c r="H24" s="101">
        <f t="shared" si="6"/>
        <v>627.6666667</v>
      </c>
      <c r="I24" s="101">
        <f t="shared" si="7"/>
        <v>628.1666667</v>
      </c>
      <c r="J24" s="101">
        <f t="shared" si="8"/>
        <v>-63.16666667</v>
      </c>
      <c r="K24" s="101">
        <v>-0.11354211847872098</v>
      </c>
      <c r="L24" s="101">
        <f t="shared" si="1"/>
        <v>565.1135421</v>
      </c>
      <c r="M24" s="101">
        <f t="shared" si="2"/>
        <v>642.571674</v>
      </c>
      <c r="N24" s="101">
        <f t="shared" si="3"/>
        <v>642.4581319</v>
      </c>
      <c r="O24" s="101">
        <f t="shared" si="4"/>
        <v>-77.45813188</v>
      </c>
      <c r="P24" s="101">
        <f t="shared" si="5"/>
        <v>5999.762195</v>
      </c>
      <c r="Q24" s="82"/>
      <c r="R24" s="82"/>
      <c r="S24" s="82"/>
      <c r="T24" s="82"/>
      <c r="U24" s="82"/>
      <c r="V24" s="82"/>
      <c r="W24" s="82"/>
      <c r="X24" s="82"/>
    </row>
    <row r="25">
      <c r="A25" s="106">
        <v>23346.0</v>
      </c>
      <c r="B25" s="99">
        <v>598.0</v>
      </c>
      <c r="C25" s="82"/>
      <c r="D25" s="13"/>
      <c r="E25" s="101">
        <v>12.0</v>
      </c>
      <c r="F25" s="99">
        <v>598.0</v>
      </c>
      <c r="G25" s="102">
        <v>24.0</v>
      </c>
      <c r="H25" s="101">
        <f t="shared" si="6"/>
        <v>628.6666667</v>
      </c>
      <c r="I25" s="101">
        <f t="shared" si="7"/>
        <v>629.3333333</v>
      </c>
      <c r="J25" s="101">
        <f t="shared" si="8"/>
        <v>-31.33333333</v>
      </c>
      <c r="K25" s="101">
        <v>-0.06138210647465325</v>
      </c>
      <c r="L25" s="101">
        <f t="shared" si="1"/>
        <v>598.0613821</v>
      </c>
      <c r="M25" s="101">
        <f t="shared" si="2"/>
        <v>643.787812</v>
      </c>
      <c r="N25" s="101">
        <f t="shared" si="3"/>
        <v>643.7264299</v>
      </c>
      <c r="O25" s="101">
        <f t="shared" si="4"/>
        <v>-45.72642989</v>
      </c>
      <c r="P25" s="101">
        <f t="shared" si="5"/>
        <v>2090.906391</v>
      </c>
      <c r="Q25" s="82"/>
      <c r="R25" s="82"/>
      <c r="S25" s="82"/>
      <c r="T25" s="82"/>
      <c r="U25" s="82"/>
      <c r="V25" s="82"/>
      <c r="W25" s="82"/>
      <c r="X25" s="82"/>
    </row>
    <row r="26">
      <c r="A26" s="107">
        <v>23377.0</v>
      </c>
      <c r="B26" s="108">
        <v>628.0</v>
      </c>
      <c r="C26" s="82"/>
      <c r="D26" s="109">
        <v>1964.0</v>
      </c>
      <c r="E26" s="110">
        <v>1.0</v>
      </c>
      <c r="F26" s="108">
        <v>628.0</v>
      </c>
      <c r="G26" s="110">
        <v>25.0</v>
      </c>
      <c r="H26" s="111">
        <f t="shared" si="6"/>
        <v>630</v>
      </c>
      <c r="I26" s="111">
        <f t="shared" si="7"/>
        <v>631.1666667</v>
      </c>
      <c r="J26" s="111">
        <f t="shared" si="8"/>
        <v>-3.166666667</v>
      </c>
      <c r="K26" s="111">
        <v>-0.025623573796152654</v>
      </c>
      <c r="L26" s="111">
        <f t="shared" si="1"/>
        <v>628.0256236</v>
      </c>
      <c r="M26" s="111">
        <f t="shared" si="2"/>
        <v>645.00395</v>
      </c>
      <c r="N26" s="111">
        <f t="shared" si="3"/>
        <v>644.9783264</v>
      </c>
      <c r="O26" s="111">
        <f t="shared" si="4"/>
        <v>-16.97832643</v>
      </c>
      <c r="P26" s="111">
        <f t="shared" si="5"/>
        <v>288.2635682</v>
      </c>
      <c r="Q26" s="82"/>
      <c r="R26" s="82"/>
      <c r="S26" s="82"/>
      <c r="T26" s="82"/>
      <c r="U26" s="82"/>
      <c r="V26" s="82"/>
      <c r="W26" s="82"/>
      <c r="X26" s="82"/>
    </row>
    <row r="27">
      <c r="A27" s="107">
        <v>23408.0</v>
      </c>
      <c r="B27" s="108">
        <v>618.0</v>
      </c>
      <c r="C27" s="82"/>
      <c r="D27" s="10"/>
      <c r="E27" s="110">
        <v>2.0</v>
      </c>
      <c r="F27" s="108">
        <v>618.0</v>
      </c>
      <c r="G27" s="110">
        <v>26.0</v>
      </c>
      <c r="H27" s="111">
        <f t="shared" si="6"/>
        <v>632.3333333</v>
      </c>
      <c r="I27" s="111">
        <f t="shared" si="7"/>
        <v>634.5</v>
      </c>
      <c r="J27" s="111">
        <f t="shared" si="8"/>
        <v>-16.5</v>
      </c>
      <c r="K27" s="111">
        <v>-0.07019703063138005</v>
      </c>
      <c r="L27" s="111">
        <f t="shared" si="1"/>
        <v>618.070197</v>
      </c>
      <c r="M27" s="111">
        <f t="shared" si="2"/>
        <v>646.220088</v>
      </c>
      <c r="N27" s="111">
        <f t="shared" si="3"/>
        <v>646.149891</v>
      </c>
      <c r="O27" s="111">
        <f t="shared" si="4"/>
        <v>-28.14989097</v>
      </c>
      <c r="P27" s="111">
        <f t="shared" si="5"/>
        <v>792.4163616</v>
      </c>
      <c r="Q27" s="82"/>
      <c r="R27" s="82"/>
      <c r="S27" s="82"/>
      <c r="T27" s="82"/>
      <c r="U27" s="82"/>
      <c r="V27" s="82"/>
      <c r="W27" s="82"/>
      <c r="X27" s="82"/>
    </row>
    <row r="28">
      <c r="A28" s="107">
        <v>23437.0</v>
      </c>
      <c r="B28" s="108">
        <v>688.0</v>
      </c>
      <c r="C28" s="82"/>
      <c r="D28" s="10"/>
      <c r="E28" s="110">
        <v>3.0</v>
      </c>
      <c r="F28" s="108">
        <v>688.0</v>
      </c>
      <c r="G28" s="110">
        <v>27.0</v>
      </c>
      <c r="H28" s="111">
        <f t="shared" si="6"/>
        <v>636.6666667</v>
      </c>
      <c r="I28" s="111">
        <f t="shared" si="7"/>
        <v>638.125</v>
      </c>
      <c r="J28" s="111">
        <f t="shared" si="8"/>
        <v>49.875</v>
      </c>
      <c r="K28" s="111">
        <v>0.05439019772936016</v>
      </c>
      <c r="L28" s="111">
        <f t="shared" si="1"/>
        <v>687.9456098</v>
      </c>
      <c r="M28" s="111">
        <f t="shared" si="2"/>
        <v>647.436226</v>
      </c>
      <c r="N28" s="111">
        <f t="shared" si="3"/>
        <v>647.4906162</v>
      </c>
      <c r="O28" s="111">
        <f t="shared" si="4"/>
        <v>40.5093838</v>
      </c>
      <c r="P28" s="111">
        <f t="shared" si="5"/>
        <v>1641.010176</v>
      </c>
      <c r="Q28" s="82"/>
      <c r="R28" s="82"/>
      <c r="S28" s="82"/>
      <c r="T28" s="82"/>
      <c r="U28" s="82"/>
      <c r="V28" s="82"/>
      <c r="W28" s="82"/>
      <c r="X28" s="82"/>
    </row>
    <row r="29">
      <c r="A29" s="107">
        <v>23468.0</v>
      </c>
      <c r="B29" s="108">
        <v>705.0</v>
      </c>
      <c r="C29" s="82"/>
      <c r="D29" s="10"/>
      <c r="E29" s="110">
        <v>4.0</v>
      </c>
      <c r="F29" s="108">
        <v>705.0</v>
      </c>
      <c r="G29" s="110">
        <v>28.0</v>
      </c>
      <c r="H29" s="111">
        <f t="shared" si="6"/>
        <v>639.5833333</v>
      </c>
      <c r="I29" s="111">
        <f t="shared" si="7"/>
        <v>640.9166667</v>
      </c>
      <c r="J29" s="111">
        <f t="shared" si="8"/>
        <v>64.08333333</v>
      </c>
      <c r="K29" s="111">
        <v>0.07740177531848791</v>
      </c>
      <c r="L29" s="111">
        <f t="shared" si="1"/>
        <v>704.9225982</v>
      </c>
      <c r="M29" s="111">
        <f t="shared" si="2"/>
        <v>648.652364</v>
      </c>
      <c r="N29" s="111">
        <f t="shared" si="3"/>
        <v>648.7297658</v>
      </c>
      <c r="O29" s="111">
        <f t="shared" si="4"/>
        <v>56.27023422</v>
      </c>
      <c r="P29" s="111">
        <f t="shared" si="5"/>
        <v>3166.33926</v>
      </c>
      <c r="Q29" s="82"/>
      <c r="R29" s="82"/>
      <c r="S29" s="82"/>
      <c r="T29" s="82"/>
      <c r="U29" s="82"/>
      <c r="V29" s="82"/>
      <c r="W29" s="82"/>
      <c r="X29" s="82"/>
    </row>
    <row r="30">
      <c r="A30" s="107">
        <v>23498.0</v>
      </c>
      <c r="B30" s="108">
        <v>770.0</v>
      </c>
      <c r="C30" s="82"/>
      <c r="D30" s="10"/>
      <c r="E30" s="110">
        <v>5.0</v>
      </c>
      <c r="F30" s="108">
        <v>770.0</v>
      </c>
      <c r="G30" s="110">
        <v>29.0</v>
      </c>
      <c r="H30" s="111">
        <f t="shared" si="6"/>
        <v>642.25</v>
      </c>
      <c r="I30" s="111">
        <f t="shared" si="7"/>
        <v>643.4166667</v>
      </c>
      <c r="J30" s="111">
        <f t="shared" si="8"/>
        <v>126.5833333</v>
      </c>
      <c r="K30" s="111">
        <v>0.1753621243754615</v>
      </c>
      <c r="L30" s="111">
        <f t="shared" si="1"/>
        <v>769.8246379</v>
      </c>
      <c r="M30" s="111">
        <f t="shared" si="2"/>
        <v>649.868502</v>
      </c>
      <c r="N30" s="111">
        <f t="shared" si="3"/>
        <v>650.0438641</v>
      </c>
      <c r="O30" s="111">
        <f t="shared" si="4"/>
        <v>119.9561359</v>
      </c>
      <c r="P30" s="111">
        <f t="shared" si="5"/>
        <v>14389.47453</v>
      </c>
      <c r="Q30" s="82"/>
      <c r="R30" s="82"/>
      <c r="S30" s="82"/>
      <c r="T30" s="82"/>
      <c r="U30" s="82"/>
      <c r="V30" s="82"/>
      <c r="W30" s="82"/>
      <c r="X30" s="82"/>
    </row>
    <row r="31">
      <c r="A31" s="107">
        <v>23529.0</v>
      </c>
      <c r="B31" s="108">
        <v>736.0</v>
      </c>
      <c r="C31" s="82"/>
      <c r="D31" s="10"/>
      <c r="E31" s="110">
        <v>6.0</v>
      </c>
      <c r="F31" s="108">
        <v>736.0</v>
      </c>
      <c r="G31" s="110">
        <v>30.0</v>
      </c>
      <c r="H31" s="111">
        <f t="shared" si="6"/>
        <v>644.5833333</v>
      </c>
      <c r="I31" s="111">
        <f t="shared" si="7"/>
        <v>645.4166667</v>
      </c>
      <c r="J31" s="111">
        <f t="shared" si="8"/>
        <v>90.58333333</v>
      </c>
      <c r="K31" s="111">
        <v>0.127930095325828</v>
      </c>
      <c r="L31" s="111">
        <f t="shared" si="1"/>
        <v>735.8720699</v>
      </c>
      <c r="M31" s="111">
        <f t="shared" si="2"/>
        <v>651.08464</v>
      </c>
      <c r="N31" s="111">
        <f t="shared" si="3"/>
        <v>651.2125701</v>
      </c>
      <c r="O31" s="111">
        <f t="shared" si="4"/>
        <v>84.7874299</v>
      </c>
      <c r="P31" s="111">
        <f t="shared" si="5"/>
        <v>7188.90827</v>
      </c>
      <c r="Q31" s="82"/>
      <c r="R31" s="82"/>
      <c r="S31" s="82"/>
      <c r="T31" s="82"/>
      <c r="U31" s="82"/>
      <c r="V31" s="82"/>
      <c r="W31" s="82"/>
      <c r="X31" s="82"/>
    </row>
    <row r="32">
      <c r="A32" s="107">
        <v>23559.0</v>
      </c>
      <c r="B32" s="108">
        <v>678.0</v>
      </c>
      <c r="C32" s="82"/>
      <c r="D32" s="10"/>
      <c r="E32" s="110">
        <v>7.0</v>
      </c>
      <c r="F32" s="108">
        <v>678.0</v>
      </c>
      <c r="G32" s="110">
        <v>31.0</v>
      </c>
      <c r="H32" s="111">
        <f t="shared" si="6"/>
        <v>646.25</v>
      </c>
      <c r="I32" s="111">
        <f t="shared" si="7"/>
        <v>647</v>
      </c>
      <c r="J32" s="111">
        <f t="shared" si="8"/>
        <v>31</v>
      </c>
      <c r="K32" s="111">
        <v>0.038200579992476724</v>
      </c>
      <c r="L32" s="111">
        <f t="shared" si="1"/>
        <v>677.9617994</v>
      </c>
      <c r="M32" s="111">
        <f t="shared" si="2"/>
        <v>652.300778</v>
      </c>
      <c r="N32" s="111">
        <f t="shared" si="3"/>
        <v>652.3389786</v>
      </c>
      <c r="O32" s="111">
        <f t="shared" si="4"/>
        <v>25.66102142</v>
      </c>
      <c r="P32" s="111">
        <f t="shared" si="5"/>
        <v>658.4880203</v>
      </c>
      <c r="Q32" s="82"/>
      <c r="R32" s="82"/>
      <c r="S32" s="82"/>
      <c r="T32" s="82"/>
      <c r="U32" s="82"/>
      <c r="V32" s="82"/>
      <c r="W32" s="82"/>
      <c r="X32" s="82"/>
    </row>
    <row r="33">
      <c r="A33" s="107">
        <v>23590.0</v>
      </c>
      <c r="B33" s="108">
        <v>639.0</v>
      </c>
      <c r="C33" s="82"/>
      <c r="D33" s="10"/>
      <c r="E33" s="111">
        <v>8.0</v>
      </c>
      <c r="F33" s="108">
        <v>639.0</v>
      </c>
      <c r="G33" s="110">
        <v>32.0</v>
      </c>
      <c r="H33" s="111">
        <f t="shared" si="6"/>
        <v>647.75</v>
      </c>
      <c r="I33" s="111">
        <f t="shared" si="7"/>
        <v>648.6666667</v>
      </c>
      <c r="J33" s="111">
        <f t="shared" si="8"/>
        <v>-9.666666667</v>
      </c>
      <c r="K33" s="112">
        <v>-0.03177736513867435</v>
      </c>
      <c r="L33" s="111">
        <f t="shared" si="1"/>
        <v>639.0317774</v>
      </c>
      <c r="M33" s="111">
        <f t="shared" si="2"/>
        <v>653.516916</v>
      </c>
      <c r="N33" s="111">
        <f t="shared" si="3"/>
        <v>653.4851386</v>
      </c>
      <c r="O33" s="111">
        <f t="shared" si="4"/>
        <v>-14.48513863</v>
      </c>
      <c r="P33" s="111">
        <f t="shared" si="5"/>
        <v>209.8192413</v>
      </c>
      <c r="Q33" s="82"/>
      <c r="R33" s="82"/>
      <c r="S33" s="82"/>
      <c r="T33" s="82"/>
      <c r="U33" s="82"/>
      <c r="V33" s="82"/>
      <c r="W33" s="82"/>
      <c r="X33" s="82"/>
    </row>
    <row r="34">
      <c r="A34" s="107">
        <v>23621.0</v>
      </c>
      <c r="B34" s="108">
        <v>604.0</v>
      </c>
      <c r="C34" s="82"/>
      <c r="D34" s="10"/>
      <c r="E34" s="111">
        <v>9.0</v>
      </c>
      <c r="F34" s="108">
        <v>604.0</v>
      </c>
      <c r="G34" s="110">
        <v>33.0</v>
      </c>
      <c r="H34" s="111">
        <f t="shared" si="6"/>
        <v>649.5833333</v>
      </c>
      <c r="I34" s="111">
        <f t="shared" si="7"/>
        <v>650.4583333</v>
      </c>
      <c r="J34" s="111">
        <f t="shared" si="8"/>
        <v>-46.45833333</v>
      </c>
      <c r="K34" s="112">
        <v>-0.08881942889669514</v>
      </c>
      <c r="L34" s="111">
        <f t="shared" si="1"/>
        <v>604.0888194</v>
      </c>
      <c r="M34" s="111">
        <f t="shared" si="2"/>
        <v>654.733054</v>
      </c>
      <c r="N34" s="111">
        <f t="shared" si="3"/>
        <v>654.6442346</v>
      </c>
      <c r="O34" s="111">
        <f t="shared" si="4"/>
        <v>-50.64423457</v>
      </c>
      <c r="P34" s="111">
        <f t="shared" si="5"/>
        <v>2564.838495</v>
      </c>
      <c r="Q34" s="82"/>
      <c r="R34" s="82"/>
      <c r="S34" s="82"/>
      <c r="T34" s="82"/>
      <c r="U34" s="82"/>
      <c r="V34" s="82"/>
      <c r="W34" s="82"/>
      <c r="X34" s="82"/>
    </row>
    <row r="35">
      <c r="A35" s="113">
        <v>23651.0</v>
      </c>
      <c r="B35" s="108">
        <v>611.0</v>
      </c>
      <c r="C35" s="82"/>
      <c r="D35" s="10"/>
      <c r="E35" s="111">
        <v>10.0</v>
      </c>
      <c r="F35" s="108">
        <v>611.0</v>
      </c>
      <c r="G35" s="110">
        <v>34.0</v>
      </c>
      <c r="H35" s="111">
        <f t="shared" si="6"/>
        <v>651.3333333</v>
      </c>
      <c r="I35" s="111">
        <f t="shared" si="7"/>
        <v>652.3333333</v>
      </c>
      <c r="J35" s="111">
        <f t="shared" si="8"/>
        <v>-41.33333333</v>
      </c>
      <c r="K35" s="112">
        <v>-0.08194314932533808</v>
      </c>
      <c r="L35" s="111">
        <f t="shared" si="1"/>
        <v>611.0819431</v>
      </c>
      <c r="M35" s="111">
        <f t="shared" si="2"/>
        <v>655.949192</v>
      </c>
      <c r="N35" s="111">
        <f t="shared" si="3"/>
        <v>655.8672489</v>
      </c>
      <c r="O35" s="111">
        <f t="shared" si="4"/>
        <v>-44.86724885</v>
      </c>
      <c r="P35" s="111">
        <f t="shared" si="5"/>
        <v>2013.070019</v>
      </c>
      <c r="Q35" s="82"/>
      <c r="R35" s="82"/>
      <c r="S35" s="82"/>
      <c r="T35" s="82"/>
      <c r="U35" s="82"/>
      <c r="V35" s="82"/>
      <c r="W35" s="82"/>
      <c r="X35" s="82"/>
    </row>
    <row r="36">
      <c r="A36" s="113">
        <v>23682.0</v>
      </c>
      <c r="B36" s="108">
        <v>594.0</v>
      </c>
      <c r="C36" s="82"/>
      <c r="D36" s="10"/>
      <c r="E36" s="111">
        <v>11.0</v>
      </c>
      <c r="F36" s="108">
        <v>594.0</v>
      </c>
      <c r="G36" s="110">
        <v>35.0</v>
      </c>
      <c r="H36" s="111">
        <f t="shared" si="6"/>
        <v>653.3333333</v>
      </c>
      <c r="I36" s="111">
        <f t="shared" si="7"/>
        <v>654.5416667</v>
      </c>
      <c r="J36" s="111">
        <f t="shared" si="8"/>
        <v>-60.54166667</v>
      </c>
      <c r="K36" s="112">
        <v>-0.11354211847872098</v>
      </c>
      <c r="L36" s="111">
        <f t="shared" si="1"/>
        <v>594.1135421</v>
      </c>
      <c r="M36" s="111">
        <f t="shared" si="2"/>
        <v>657.16533</v>
      </c>
      <c r="N36" s="111">
        <f t="shared" si="3"/>
        <v>657.0517879</v>
      </c>
      <c r="O36" s="111">
        <f t="shared" si="4"/>
        <v>-63.05178788</v>
      </c>
      <c r="P36" s="111">
        <f t="shared" si="5"/>
        <v>3975.527955</v>
      </c>
      <c r="Q36" s="82"/>
      <c r="R36" s="82"/>
      <c r="S36" s="82"/>
      <c r="T36" s="82"/>
      <c r="U36" s="82"/>
      <c r="V36" s="82"/>
      <c r="W36" s="82"/>
      <c r="X36" s="82"/>
    </row>
    <row r="37">
      <c r="A37" s="113">
        <v>23712.0</v>
      </c>
      <c r="B37" s="108">
        <v>634.0</v>
      </c>
      <c r="C37" s="82"/>
      <c r="D37" s="13"/>
      <c r="E37" s="111">
        <v>12.0</v>
      </c>
      <c r="F37" s="108">
        <v>634.0</v>
      </c>
      <c r="G37" s="110">
        <v>36.0</v>
      </c>
      <c r="H37" s="111">
        <f t="shared" si="6"/>
        <v>655.75</v>
      </c>
      <c r="I37" s="111">
        <f t="shared" si="7"/>
        <v>657.25</v>
      </c>
      <c r="J37" s="111">
        <f t="shared" si="8"/>
        <v>-23.25</v>
      </c>
      <c r="K37" s="112">
        <v>-0.06138210647465325</v>
      </c>
      <c r="L37" s="111">
        <f t="shared" si="1"/>
        <v>634.0613821</v>
      </c>
      <c r="M37" s="111">
        <f t="shared" si="2"/>
        <v>658.381468</v>
      </c>
      <c r="N37" s="111">
        <f t="shared" si="3"/>
        <v>658.3200859</v>
      </c>
      <c r="O37" s="111">
        <f t="shared" si="4"/>
        <v>-24.32008589</v>
      </c>
      <c r="P37" s="111">
        <f t="shared" si="5"/>
        <v>591.4665779</v>
      </c>
      <c r="Q37" s="82"/>
      <c r="R37" s="82"/>
      <c r="S37" s="82"/>
      <c r="T37" s="82"/>
      <c r="U37" s="82"/>
      <c r="V37" s="82"/>
      <c r="W37" s="82"/>
      <c r="X37" s="82"/>
    </row>
    <row r="38">
      <c r="A38" s="114">
        <v>23743.0</v>
      </c>
      <c r="B38" s="115">
        <v>658.0</v>
      </c>
      <c r="C38" s="82"/>
      <c r="D38" s="116">
        <v>1965.0</v>
      </c>
      <c r="E38" s="117">
        <v>1.0</v>
      </c>
      <c r="F38" s="115">
        <v>658.0</v>
      </c>
      <c r="G38" s="118">
        <v>37.0</v>
      </c>
      <c r="H38" s="117">
        <f t="shared" si="6"/>
        <v>658.75</v>
      </c>
      <c r="I38" s="117">
        <f t="shared" si="7"/>
        <v>660</v>
      </c>
      <c r="J38" s="117">
        <f t="shared" si="8"/>
        <v>-2</v>
      </c>
      <c r="K38" s="117">
        <v>-0.025623573796152654</v>
      </c>
      <c r="L38" s="117">
        <f t="shared" si="1"/>
        <v>658.0256236</v>
      </c>
      <c r="M38" s="117">
        <f t="shared" si="2"/>
        <v>659.597606</v>
      </c>
      <c r="N38" s="117">
        <f t="shared" si="3"/>
        <v>659.5719824</v>
      </c>
      <c r="O38" s="117">
        <f t="shared" si="4"/>
        <v>-1.571982426</v>
      </c>
      <c r="P38" s="117">
        <f t="shared" si="5"/>
        <v>2.471128748</v>
      </c>
      <c r="Q38" s="82"/>
      <c r="R38" s="82"/>
      <c r="S38" s="82"/>
      <c r="T38" s="82"/>
      <c r="U38" s="82"/>
      <c r="V38" s="82"/>
      <c r="W38" s="82"/>
      <c r="X38" s="82"/>
    </row>
    <row r="39">
      <c r="A39" s="114">
        <v>23774.0</v>
      </c>
      <c r="B39" s="115">
        <v>622.0</v>
      </c>
      <c r="C39" s="82"/>
      <c r="D39" s="10"/>
      <c r="E39" s="117">
        <v>2.0</v>
      </c>
      <c r="F39" s="115">
        <v>622.0</v>
      </c>
      <c r="G39" s="118">
        <v>38.0</v>
      </c>
      <c r="H39" s="117">
        <f t="shared" si="6"/>
        <v>661.25</v>
      </c>
      <c r="I39" s="117">
        <f t="shared" si="7"/>
        <v>661.4166667</v>
      </c>
      <c r="J39" s="117">
        <f t="shared" si="8"/>
        <v>-39.41666667</v>
      </c>
      <c r="K39" s="119">
        <v>-0.07019703063138005</v>
      </c>
      <c r="L39" s="117">
        <f t="shared" si="1"/>
        <v>622.070197</v>
      </c>
      <c r="M39" s="117">
        <f t="shared" si="2"/>
        <v>660.813744</v>
      </c>
      <c r="N39" s="117">
        <f t="shared" si="3"/>
        <v>660.743547</v>
      </c>
      <c r="O39" s="117">
        <f t="shared" si="4"/>
        <v>-38.74354697</v>
      </c>
      <c r="P39" s="117">
        <f t="shared" si="5"/>
        <v>1501.062432</v>
      </c>
      <c r="Q39" s="82"/>
      <c r="R39" s="82"/>
      <c r="S39" s="82"/>
      <c r="T39" s="82"/>
      <c r="U39" s="82"/>
      <c r="V39" s="82"/>
      <c r="W39" s="82"/>
      <c r="X39" s="82"/>
    </row>
    <row r="40">
      <c r="A40" s="114">
        <v>23802.0</v>
      </c>
      <c r="B40" s="115">
        <v>709.0</v>
      </c>
      <c r="C40" s="82"/>
      <c r="D40" s="10"/>
      <c r="E40" s="117">
        <v>3.0</v>
      </c>
      <c r="F40" s="115">
        <v>709.0</v>
      </c>
      <c r="G40" s="118">
        <v>39.0</v>
      </c>
      <c r="H40" s="117">
        <f t="shared" si="6"/>
        <v>661.5833333</v>
      </c>
      <c r="I40" s="117">
        <f t="shared" si="7"/>
        <v>662.4583333</v>
      </c>
      <c r="J40" s="117">
        <f t="shared" si="8"/>
        <v>46.54166667</v>
      </c>
      <c r="K40" s="120">
        <v>0.05439019772936016</v>
      </c>
      <c r="L40" s="117">
        <f t="shared" si="1"/>
        <v>708.9456098</v>
      </c>
      <c r="M40" s="117">
        <f t="shared" si="2"/>
        <v>662.029882</v>
      </c>
      <c r="N40" s="117">
        <f t="shared" si="3"/>
        <v>662.0842722</v>
      </c>
      <c r="O40" s="117">
        <f t="shared" si="4"/>
        <v>46.9157278</v>
      </c>
      <c r="P40" s="117">
        <f t="shared" si="5"/>
        <v>2201.085515</v>
      </c>
      <c r="Q40" s="82"/>
      <c r="R40" s="82"/>
      <c r="S40" s="82"/>
      <c r="T40" s="82"/>
      <c r="U40" s="82"/>
      <c r="V40" s="82"/>
      <c r="W40" s="82"/>
      <c r="X40" s="82"/>
    </row>
    <row r="41">
      <c r="A41" s="114">
        <v>23833.0</v>
      </c>
      <c r="B41" s="115">
        <v>722.0</v>
      </c>
      <c r="C41" s="82"/>
      <c r="D41" s="10"/>
      <c r="E41" s="117">
        <v>4.0</v>
      </c>
      <c r="F41" s="115">
        <v>722.0</v>
      </c>
      <c r="G41" s="118">
        <v>40.0</v>
      </c>
      <c r="H41" s="117">
        <f t="shared" si="6"/>
        <v>663.3333333</v>
      </c>
      <c r="I41" s="117">
        <f t="shared" si="7"/>
        <v>664.0416667</v>
      </c>
      <c r="J41" s="117">
        <f t="shared" si="8"/>
        <v>57.95833333</v>
      </c>
      <c r="K41" s="119">
        <v>0.07740177531848791</v>
      </c>
      <c r="L41" s="117">
        <f t="shared" si="1"/>
        <v>721.9225982</v>
      </c>
      <c r="M41" s="117">
        <f t="shared" si="2"/>
        <v>663.24602</v>
      </c>
      <c r="N41" s="117">
        <f t="shared" si="3"/>
        <v>663.3234218</v>
      </c>
      <c r="O41" s="117">
        <f t="shared" si="4"/>
        <v>58.67657822</v>
      </c>
      <c r="P41" s="117">
        <f t="shared" si="5"/>
        <v>3442.940832</v>
      </c>
      <c r="Q41" s="82"/>
      <c r="R41" s="82"/>
      <c r="S41" s="82"/>
      <c r="T41" s="82"/>
      <c r="U41" s="82"/>
      <c r="V41" s="82"/>
      <c r="W41" s="82"/>
      <c r="X41" s="82"/>
    </row>
    <row r="42">
      <c r="A42" s="114">
        <v>23863.0</v>
      </c>
      <c r="B42" s="115">
        <v>782.0</v>
      </c>
      <c r="C42" s="82"/>
      <c r="D42" s="10"/>
      <c r="E42" s="117">
        <v>5.0</v>
      </c>
      <c r="F42" s="115">
        <v>782.0</v>
      </c>
      <c r="G42" s="118">
        <v>41.0</v>
      </c>
      <c r="H42" s="117">
        <f t="shared" si="6"/>
        <v>664.75</v>
      </c>
      <c r="I42" s="117">
        <f t="shared" si="7"/>
        <v>665.25</v>
      </c>
      <c r="J42" s="117">
        <f t="shared" si="8"/>
        <v>116.75</v>
      </c>
      <c r="K42" s="119">
        <v>0.1753621243754615</v>
      </c>
      <c r="L42" s="117">
        <f t="shared" si="1"/>
        <v>781.8246379</v>
      </c>
      <c r="M42" s="117">
        <f t="shared" si="2"/>
        <v>664.462158</v>
      </c>
      <c r="N42" s="117">
        <f t="shared" si="3"/>
        <v>664.6375201</v>
      </c>
      <c r="O42" s="117">
        <f t="shared" si="4"/>
        <v>117.3624799</v>
      </c>
      <c r="P42" s="117">
        <f t="shared" si="5"/>
        <v>13773.95168</v>
      </c>
      <c r="Q42" s="82"/>
      <c r="R42" s="82"/>
      <c r="S42" s="82"/>
      <c r="T42" s="82"/>
      <c r="U42" s="82"/>
      <c r="V42" s="82"/>
      <c r="W42" s="82"/>
      <c r="X42" s="82"/>
    </row>
    <row r="43">
      <c r="A43" s="114">
        <v>23894.0</v>
      </c>
      <c r="B43" s="115">
        <v>756.0</v>
      </c>
      <c r="C43" s="82"/>
      <c r="D43" s="10"/>
      <c r="E43" s="117">
        <v>6.0</v>
      </c>
      <c r="F43" s="115">
        <v>756.0</v>
      </c>
      <c r="G43" s="118">
        <v>42.0</v>
      </c>
      <c r="H43" s="117">
        <f t="shared" si="6"/>
        <v>665.75</v>
      </c>
      <c r="I43" s="117">
        <f t="shared" si="7"/>
        <v>666.5833333</v>
      </c>
      <c r="J43" s="117">
        <f t="shared" si="8"/>
        <v>89.41666667</v>
      </c>
      <c r="K43" s="119">
        <v>0.127930095325828</v>
      </c>
      <c r="L43" s="117">
        <f t="shared" si="1"/>
        <v>755.8720699</v>
      </c>
      <c r="M43" s="117">
        <f t="shared" si="2"/>
        <v>665.678296</v>
      </c>
      <c r="N43" s="117">
        <f t="shared" si="3"/>
        <v>665.8062261</v>
      </c>
      <c r="O43" s="117">
        <f t="shared" si="4"/>
        <v>90.1937739</v>
      </c>
      <c r="P43" s="117">
        <f t="shared" si="5"/>
        <v>8134.916851</v>
      </c>
      <c r="Q43" s="82"/>
      <c r="R43" s="82"/>
      <c r="S43" s="82"/>
      <c r="T43" s="82"/>
      <c r="U43" s="82"/>
      <c r="V43" s="82"/>
      <c r="W43" s="82"/>
      <c r="X43" s="82"/>
    </row>
    <row r="44">
      <c r="A44" s="114">
        <v>23924.0</v>
      </c>
      <c r="B44" s="115">
        <v>702.0</v>
      </c>
      <c r="C44" s="82"/>
      <c r="D44" s="10"/>
      <c r="E44" s="117">
        <v>7.0</v>
      </c>
      <c r="F44" s="115">
        <v>702.0</v>
      </c>
      <c r="G44" s="118">
        <v>43.0</v>
      </c>
      <c r="H44" s="117">
        <f t="shared" si="6"/>
        <v>667.4166667</v>
      </c>
      <c r="I44" s="117">
        <f t="shared" si="7"/>
        <v>668.4166667</v>
      </c>
      <c r="J44" s="117">
        <f t="shared" si="8"/>
        <v>33.58333333</v>
      </c>
      <c r="K44" s="119">
        <v>0.038200579992476724</v>
      </c>
      <c r="L44" s="117">
        <f t="shared" si="1"/>
        <v>701.9617994</v>
      </c>
      <c r="M44" s="117">
        <f t="shared" si="2"/>
        <v>666.894434</v>
      </c>
      <c r="N44" s="117">
        <f t="shared" si="3"/>
        <v>666.9326346</v>
      </c>
      <c r="O44" s="117">
        <f t="shared" si="4"/>
        <v>35.06736542</v>
      </c>
      <c r="P44" s="117">
        <f t="shared" si="5"/>
        <v>1229.720118</v>
      </c>
      <c r="Q44" s="82"/>
      <c r="R44" s="82"/>
      <c r="S44" s="82"/>
      <c r="T44" s="82"/>
      <c r="U44" s="82"/>
      <c r="V44" s="82"/>
      <c r="W44" s="82"/>
      <c r="X44" s="82"/>
    </row>
    <row r="45">
      <c r="A45" s="114">
        <v>23955.0</v>
      </c>
      <c r="B45" s="115">
        <v>653.0</v>
      </c>
      <c r="C45" s="82"/>
      <c r="D45" s="10"/>
      <c r="E45" s="117">
        <v>8.0</v>
      </c>
      <c r="F45" s="115">
        <v>653.0</v>
      </c>
      <c r="G45" s="118">
        <v>44.0</v>
      </c>
      <c r="H45" s="117">
        <f t="shared" si="6"/>
        <v>669.4166667</v>
      </c>
      <c r="I45" s="117">
        <f t="shared" si="7"/>
        <v>670</v>
      </c>
      <c r="J45" s="117">
        <f t="shared" si="8"/>
        <v>-17</v>
      </c>
      <c r="K45" s="119">
        <v>-0.03177736513867435</v>
      </c>
      <c r="L45" s="117">
        <f t="shared" si="1"/>
        <v>653.0317774</v>
      </c>
      <c r="M45" s="117">
        <f t="shared" si="2"/>
        <v>668.110572</v>
      </c>
      <c r="N45" s="117">
        <f t="shared" si="3"/>
        <v>668.0787946</v>
      </c>
      <c r="O45" s="117">
        <f t="shared" si="4"/>
        <v>-15.07879463</v>
      </c>
      <c r="P45" s="117">
        <f t="shared" si="5"/>
        <v>227.3700476</v>
      </c>
      <c r="Q45" s="82"/>
      <c r="R45" s="82"/>
      <c r="S45" s="82"/>
      <c r="T45" s="82"/>
      <c r="U45" s="82"/>
      <c r="V45" s="82"/>
      <c r="W45" s="82"/>
      <c r="X45" s="82"/>
    </row>
    <row r="46">
      <c r="A46" s="114">
        <v>23986.0</v>
      </c>
      <c r="B46" s="115">
        <v>615.0</v>
      </c>
      <c r="C46" s="82"/>
      <c r="D46" s="10"/>
      <c r="E46" s="117">
        <v>9.0</v>
      </c>
      <c r="F46" s="115">
        <v>615.0</v>
      </c>
      <c r="G46" s="118">
        <v>45.0</v>
      </c>
      <c r="H46" s="117">
        <f t="shared" si="6"/>
        <v>670.5833333</v>
      </c>
      <c r="I46" s="117">
        <f t="shared" si="7"/>
        <v>671.0416667</v>
      </c>
      <c r="J46" s="117">
        <f t="shared" si="8"/>
        <v>-56.04166667</v>
      </c>
      <c r="K46" s="119">
        <v>-0.08881942889669514</v>
      </c>
      <c r="L46" s="117">
        <f t="shared" si="1"/>
        <v>615.0888194</v>
      </c>
      <c r="M46" s="117">
        <f t="shared" si="2"/>
        <v>669.32671</v>
      </c>
      <c r="N46" s="117">
        <f t="shared" si="3"/>
        <v>669.2378906</v>
      </c>
      <c r="O46" s="117">
        <f t="shared" si="4"/>
        <v>-54.23789057</v>
      </c>
      <c r="P46" s="117">
        <f t="shared" si="5"/>
        <v>2941.748774</v>
      </c>
      <c r="Q46" s="82"/>
      <c r="R46" s="82"/>
      <c r="S46" s="82"/>
      <c r="T46" s="82"/>
      <c r="U46" s="82"/>
      <c r="V46" s="82"/>
      <c r="W46" s="82"/>
      <c r="X46" s="82"/>
    </row>
    <row r="47">
      <c r="A47" s="121">
        <v>24016.0</v>
      </c>
      <c r="B47" s="115">
        <v>621.0</v>
      </c>
      <c r="C47" s="82"/>
      <c r="D47" s="10"/>
      <c r="E47" s="118">
        <v>10.0</v>
      </c>
      <c r="F47" s="115">
        <v>621.0</v>
      </c>
      <c r="G47" s="118">
        <v>46.0</v>
      </c>
      <c r="H47" s="117">
        <f t="shared" si="6"/>
        <v>671.5</v>
      </c>
      <c r="I47" s="117">
        <f t="shared" si="7"/>
        <v>671.9166667</v>
      </c>
      <c r="J47" s="117">
        <f t="shared" si="8"/>
        <v>-50.91666667</v>
      </c>
      <c r="K47" s="117">
        <v>-0.08194314932533808</v>
      </c>
      <c r="L47" s="117">
        <f t="shared" si="1"/>
        <v>621.0819431</v>
      </c>
      <c r="M47" s="117">
        <f t="shared" si="2"/>
        <v>670.542848</v>
      </c>
      <c r="N47" s="117">
        <f t="shared" si="3"/>
        <v>670.4609049</v>
      </c>
      <c r="O47" s="117">
        <f t="shared" si="4"/>
        <v>-49.46090485</v>
      </c>
      <c r="P47" s="117">
        <f t="shared" si="5"/>
        <v>2446.381109</v>
      </c>
      <c r="Q47" s="82"/>
      <c r="R47" s="82"/>
      <c r="S47" s="82"/>
      <c r="T47" s="82"/>
      <c r="U47" s="82"/>
      <c r="V47" s="82"/>
      <c r="W47" s="82"/>
      <c r="X47" s="82"/>
    </row>
    <row r="48">
      <c r="A48" s="121">
        <v>24047.0</v>
      </c>
      <c r="B48" s="115">
        <v>602.0</v>
      </c>
      <c r="C48" s="82"/>
      <c r="D48" s="10"/>
      <c r="E48" s="117">
        <v>11.0</v>
      </c>
      <c r="F48" s="115">
        <v>602.0</v>
      </c>
      <c r="G48" s="118">
        <v>47.0</v>
      </c>
      <c r="H48" s="117">
        <f t="shared" si="6"/>
        <v>672.3333333</v>
      </c>
      <c r="I48" s="117">
        <f t="shared" si="7"/>
        <v>672.6666667</v>
      </c>
      <c r="J48" s="117">
        <f t="shared" si="8"/>
        <v>-70.66666667</v>
      </c>
      <c r="K48" s="117">
        <v>-0.11354211847872098</v>
      </c>
      <c r="L48" s="117">
        <f t="shared" si="1"/>
        <v>602.1135421</v>
      </c>
      <c r="M48" s="117">
        <f t="shared" si="2"/>
        <v>671.758986</v>
      </c>
      <c r="N48" s="117">
        <f t="shared" si="3"/>
        <v>671.6454439</v>
      </c>
      <c r="O48" s="117">
        <f t="shared" si="4"/>
        <v>-69.64544388</v>
      </c>
      <c r="P48" s="117">
        <f t="shared" si="5"/>
        <v>4850.487853</v>
      </c>
      <c r="Q48" s="82"/>
      <c r="R48" s="82"/>
      <c r="S48" s="82"/>
      <c r="T48" s="82"/>
      <c r="U48" s="82"/>
      <c r="V48" s="82"/>
      <c r="W48" s="82"/>
      <c r="X48" s="82"/>
    </row>
    <row r="49">
      <c r="A49" s="121">
        <v>24077.0</v>
      </c>
      <c r="B49" s="115">
        <v>635.0</v>
      </c>
      <c r="C49" s="82"/>
      <c r="D49" s="13"/>
      <c r="E49" s="117">
        <v>12.0</v>
      </c>
      <c r="F49" s="115">
        <v>635.0</v>
      </c>
      <c r="G49" s="118">
        <v>48.0</v>
      </c>
      <c r="H49" s="117">
        <f t="shared" si="6"/>
        <v>673</v>
      </c>
      <c r="I49" s="117">
        <f t="shared" si="7"/>
        <v>673</v>
      </c>
      <c r="J49" s="117">
        <f t="shared" si="8"/>
        <v>-38</v>
      </c>
      <c r="K49" s="117">
        <v>-0.06138210647465325</v>
      </c>
      <c r="L49" s="117">
        <f t="shared" si="1"/>
        <v>635.0613821</v>
      </c>
      <c r="M49" s="117">
        <f t="shared" si="2"/>
        <v>672.975124</v>
      </c>
      <c r="N49" s="117">
        <f t="shared" si="3"/>
        <v>672.9137419</v>
      </c>
      <c r="O49" s="117">
        <f t="shared" si="4"/>
        <v>-37.91374189</v>
      </c>
      <c r="P49" s="117">
        <f t="shared" si="5"/>
        <v>1437.451824</v>
      </c>
      <c r="Q49" s="82"/>
      <c r="R49" s="82"/>
      <c r="S49" s="82"/>
      <c r="T49" s="82"/>
      <c r="U49" s="82"/>
      <c r="V49" s="82"/>
      <c r="W49" s="82"/>
      <c r="X49" s="82"/>
    </row>
    <row r="50">
      <c r="A50" s="122">
        <v>24108.0</v>
      </c>
      <c r="B50" s="123">
        <v>677.0</v>
      </c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8" t="s">
        <v>14</v>
      </c>
      <c r="P50" s="83">
        <f>SUM(P2:P49)</f>
        <v>154431.0112</v>
      </c>
      <c r="Q50" s="82"/>
      <c r="R50" s="82"/>
      <c r="S50" s="82"/>
      <c r="T50" s="82"/>
      <c r="U50" s="82"/>
      <c r="V50" s="82"/>
      <c r="W50" s="82"/>
      <c r="X50" s="82"/>
    </row>
    <row r="51">
      <c r="A51" s="122">
        <v>24139.0</v>
      </c>
      <c r="B51" s="123">
        <v>635.0</v>
      </c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</row>
    <row r="52">
      <c r="A52" s="122">
        <v>24167.0</v>
      </c>
      <c r="B52" s="123">
        <v>736.0</v>
      </c>
      <c r="C52" s="82"/>
      <c r="D52" s="124" t="s">
        <v>15</v>
      </c>
      <c r="E52" s="35"/>
      <c r="F52" s="35"/>
      <c r="G52" s="35"/>
      <c r="H52" s="36"/>
      <c r="I52" s="82"/>
      <c r="J52" s="80" t="s">
        <v>2</v>
      </c>
      <c r="K52" s="80" t="s">
        <v>15</v>
      </c>
      <c r="L52" s="80" t="s">
        <v>16</v>
      </c>
      <c r="M52" s="82"/>
      <c r="N52" s="125"/>
      <c r="O52" s="125"/>
      <c r="P52" s="82"/>
      <c r="Q52" s="82"/>
      <c r="R52" s="82"/>
      <c r="S52" s="82"/>
      <c r="T52" s="82"/>
      <c r="U52" s="82"/>
      <c r="V52" s="82"/>
      <c r="W52" s="82"/>
      <c r="X52" s="82"/>
    </row>
    <row r="53">
      <c r="A53" s="122">
        <v>24198.0</v>
      </c>
      <c r="B53" s="123">
        <v>755.0</v>
      </c>
      <c r="C53" s="82"/>
      <c r="D53" s="40" t="s">
        <v>2</v>
      </c>
      <c r="E53" s="40">
        <v>1962.0</v>
      </c>
      <c r="F53" s="40">
        <v>1963.0</v>
      </c>
      <c r="G53" s="40">
        <v>1964.0</v>
      </c>
      <c r="H53" s="41" t="s">
        <v>8</v>
      </c>
      <c r="I53" s="82"/>
      <c r="J53" s="126">
        <v>1.0</v>
      </c>
      <c r="K53" s="127">
        <f t="shared" ref="K53:K64" si="9">averageif($E$14:$E$49,J53,$J$14:$J$49)</f>
        <v>-7.902777778</v>
      </c>
      <c r="L53" s="127">
        <f t="shared" ref="L53:L64" si="10">K53-$K$66</f>
        <v>-16.72106481</v>
      </c>
      <c r="M53" s="82"/>
      <c r="N53" s="125"/>
      <c r="O53" s="125"/>
      <c r="P53" s="82"/>
      <c r="Q53" s="82"/>
      <c r="R53" s="82"/>
      <c r="S53" s="82"/>
      <c r="T53" s="82"/>
      <c r="U53" s="82"/>
      <c r="V53" s="82"/>
      <c r="W53" s="82"/>
      <c r="X53" s="82"/>
    </row>
    <row r="54">
      <c r="A54" s="122">
        <v>24228.0</v>
      </c>
      <c r="B54" s="123">
        <v>811.0</v>
      </c>
      <c r="C54" s="82"/>
      <c r="D54" s="128">
        <v>1.0</v>
      </c>
      <c r="E54" s="95">
        <v>-16.208333333333258</v>
      </c>
      <c r="F54" s="104">
        <v>-3.1666666666667425</v>
      </c>
      <c r="G54" s="129">
        <v>-2.0</v>
      </c>
      <c r="H54" s="127">
        <f t="shared" ref="H54:H65" si="11">AVERAGE(E54:G54)</f>
        <v>-7.125</v>
      </c>
      <c r="I54" s="82"/>
      <c r="J54" s="126">
        <v>2.0</v>
      </c>
      <c r="K54" s="127">
        <f t="shared" si="9"/>
        <v>-35.98611111</v>
      </c>
      <c r="L54" s="127">
        <f t="shared" si="10"/>
        <v>-44.80439815</v>
      </c>
      <c r="M54" s="82"/>
      <c r="N54" s="125"/>
      <c r="O54" s="125"/>
      <c r="P54" s="82"/>
      <c r="Q54" s="82"/>
      <c r="R54" s="82"/>
      <c r="S54" s="82"/>
      <c r="T54" s="82"/>
      <c r="U54" s="82"/>
      <c r="V54" s="82"/>
      <c r="W54" s="82"/>
      <c r="X54" s="82"/>
    </row>
    <row r="55">
      <c r="A55" s="122">
        <v>24259.0</v>
      </c>
      <c r="B55" s="123">
        <v>798.0</v>
      </c>
      <c r="C55" s="82"/>
      <c r="D55" s="128">
        <v>2.0</v>
      </c>
      <c r="E55" s="95">
        <v>-50.875</v>
      </c>
      <c r="F55" s="104">
        <v>-16.5</v>
      </c>
      <c r="G55" s="129">
        <v>-39.41666666666674</v>
      </c>
      <c r="H55" s="127">
        <f t="shared" si="11"/>
        <v>-35.59722222</v>
      </c>
      <c r="I55" s="82"/>
      <c r="J55" s="126">
        <v>3.0</v>
      </c>
      <c r="K55" s="127">
        <f t="shared" si="9"/>
        <v>43.93055556</v>
      </c>
      <c r="L55" s="127">
        <f t="shared" si="10"/>
        <v>35.11226852</v>
      </c>
      <c r="M55" s="82"/>
      <c r="N55" s="42"/>
      <c r="O55" s="130" t="s">
        <v>17</v>
      </c>
      <c r="P55" s="82"/>
      <c r="Q55" s="82"/>
      <c r="R55" s="82"/>
      <c r="S55" s="82"/>
      <c r="T55" s="82"/>
      <c r="U55" s="82"/>
      <c r="V55" s="82"/>
      <c r="W55" s="82"/>
      <c r="X55" s="82"/>
    </row>
    <row r="56">
      <c r="A56" s="122">
        <v>24289.0</v>
      </c>
      <c r="B56" s="123">
        <v>735.0</v>
      </c>
      <c r="C56" s="82"/>
      <c r="D56" s="128">
        <v>3.0</v>
      </c>
      <c r="E56" s="95">
        <v>35.375</v>
      </c>
      <c r="F56" s="104">
        <v>49.875</v>
      </c>
      <c r="G56" s="129">
        <v>46.54166666666663</v>
      </c>
      <c r="H56" s="127">
        <f t="shared" si="11"/>
        <v>43.93055556</v>
      </c>
      <c r="I56" s="82"/>
      <c r="J56" s="126">
        <v>4.0</v>
      </c>
      <c r="K56" s="127">
        <f t="shared" si="9"/>
        <v>58.72222222</v>
      </c>
      <c r="L56" s="127">
        <f t="shared" si="10"/>
        <v>49.90393519</v>
      </c>
      <c r="M56" s="82"/>
      <c r="N56" s="4" t="s">
        <v>18</v>
      </c>
      <c r="O56" s="131">
        <v>614.6005</v>
      </c>
      <c r="P56" s="82"/>
      <c r="Q56" s="82"/>
      <c r="R56" s="82"/>
      <c r="S56" s="82"/>
      <c r="T56" s="82"/>
      <c r="U56" s="82"/>
      <c r="V56" s="82"/>
      <c r="W56" s="82"/>
      <c r="X56" s="82"/>
    </row>
    <row r="57">
      <c r="A57" s="122">
        <v>24320.0</v>
      </c>
      <c r="B57" s="123">
        <v>697.0</v>
      </c>
      <c r="C57" s="82"/>
      <c r="D57" s="128">
        <v>4.0</v>
      </c>
      <c r="E57" s="95">
        <v>54.125</v>
      </c>
      <c r="F57" s="104">
        <v>64.08333333333326</v>
      </c>
      <c r="G57" s="129">
        <v>57.95833333333326</v>
      </c>
      <c r="H57" s="127">
        <f t="shared" si="11"/>
        <v>58.72222222</v>
      </c>
      <c r="I57" s="82"/>
      <c r="J57" s="126">
        <v>5.0</v>
      </c>
      <c r="K57" s="127">
        <f t="shared" si="9"/>
        <v>121.7083333</v>
      </c>
      <c r="L57" s="127">
        <f t="shared" si="10"/>
        <v>112.8900463</v>
      </c>
      <c r="M57" s="82"/>
      <c r="N57" s="4" t="s">
        <v>19</v>
      </c>
      <c r="O57" s="132">
        <v>1.216138</v>
      </c>
      <c r="P57" s="82"/>
      <c r="Q57" s="82"/>
      <c r="R57" s="82"/>
      <c r="S57" s="82"/>
      <c r="T57" s="82"/>
      <c r="U57" s="82"/>
      <c r="V57" s="82"/>
      <c r="W57" s="82"/>
      <c r="X57" s="82"/>
    </row>
    <row r="58">
      <c r="A58" s="122">
        <v>24351.0</v>
      </c>
      <c r="B58" s="123">
        <v>661.0</v>
      </c>
      <c r="C58" s="82"/>
      <c r="D58" s="128">
        <v>5.0</v>
      </c>
      <c r="E58" s="95">
        <v>121.79166666666663</v>
      </c>
      <c r="F58" s="104">
        <v>126.58333333333326</v>
      </c>
      <c r="G58" s="129">
        <v>116.75</v>
      </c>
      <c r="H58" s="127">
        <f t="shared" si="11"/>
        <v>121.7083333</v>
      </c>
      <c r="I58" s="82"/>
      <c r="J58" s="126">
        <v>6.0</v>
      </c>
      <c r="K58" s="127">
        <f t="shared" si="9"/>
        <v>91.45833333</v>
      </c>
      <c r="L58" s="127">
        <f t="shared" si="10"/>
        <v>82.6400463</v>
      </c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</row>
    <row r="59">
      <c r="A59" s="133">
        <v>24381.0</v>
      </c>
      <c r="B59" s="123">
        <v>667.0</v>
      </c>
      <c r="C59" s="82"/>
      <c r="D59" s="128">
        <v>6.0</v>
      </c>
      <c r="E59" s="95">
        <v>94.375</v>
      </c>
      <c r="F59" s="104">
        <v>90.58333333333326</v>
      </c>
      <c r="G59" s="129">
        <v>89.41666666666674</v>
      </c>
      <c r="H59" s="127">
        <f t="shared" si="11"/>
        <v>91.45833333</v>
      </c>
      <c r="I59" s="82"/>
      <c r="J59" s="126">
        <v>7.0</v>
      </c>
      <c r="K59" s="127">
        <f t="shared" si="9"/>
        <v>33.77777778</v>
      </c>
      <c r="L59" s="127">
        <f t="shared" si="10"/>
        <v>24.95949074</v>
      </c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</row>
    <row r="60">
      <c r="A60" s="133">
        <v>24412.0</v>
      </c>
      <c r="B60" s="123">
        <v>645.0</v>
      </c>
      <c r="C60" s="82"/>
      <c r="D60" s="128">
        <v>7.0</v>
      </c>
      <c r="E60" s="95">
        <v>36.75</v>
      </c>
      <c r="F60" s="104">
        <v>31.0</v>
      </c>
      <c r="G60" s="129">
        <v>33.58333333333337</v>
      </c>
      <c r="H60" s="127">
        <f t="shared" si="11"/>
        <v>33.77777778</v>
      </c>
      <c r="I60" s="82"/>
      <c r="J60" s="126">
        <v>8.0</v>
      </c>
      <c r="K60" s="127">
        <f t="shared" si="9"/>
        <v>-11.5</v>
      </c>
      <c r="L60" s="127">
        <f t="shared" si="10"/>
        <v>-20.31828704</v>
      </c>
      <c r="M60" s="82"/>
      <c r="N60" s="134" t="s">
        <v>20</v>
      </c>
      <c r="O60" s="135">
        <f>P50/48</f>
        <v>3217.312732</v>
      </c>
      <c r="P60" s="82"/>
      <c r="Q60" s="82"/>
      <c r="R60" s="82"/>
      <c r="S60" s="82"/>
      <c r="T60" s="82"/>
      <c r="U60" s="82"/>
      <c r="V60" s="82"/>
      <c r="W60" s="82"/>
      <c r="X60" s="82"/>
    </row>
    <row r="61">
      <c r="A61" s="133">
        <v>24442.0</v>
      </c>
      <c r="B61" s="123">
        <v>688.0</v>
      </c>
      <c r="C61" s="82"/>
      <c r="D61" s="128">
        <v>8.0</v>
      </c>
      <c r="E61" s="95">
        <v>-7.833333333333371</v>
      </c>
      <c r="F61" s="104">
        <v>-9.666666666666742</v>
      </c>
      <c r="G61" s="129">
        <v>-17.0</v>
      </c>
      <c r="H61" s="127">
        <f t="shared" si="11"/>
        <v>-11.5</v>
      </c>
      <c r="I61" s="82"/>
      <c r="J61" s="126">
        <v>9.0</v>
      </c>
      <c r="K61" s="127">
        <f t="shared" si="9"/>
        <v>-48.56944444</v>
      </c>
      <c r="L61" s="127">
        <f t="shared" si="10"/>
        <v>-57.38773148</v>
      </c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</row>
    <row r="62">
      <c r="A62" s="136">
        <v>24473.0</v>
      </c>
      <c r="B62" s="137">
        <v>713.0</v>
      </c>
      <c r="C62" s="82"/>
      <c r="D62" s="128">
        <v>9.0</v>
      </c>
      <c r="E62" s="95">
        <v>-43.20833333333337</v>
      </c>
      <c r="F62" s="104">
        <v>-46.45833333333337</v>
      </c>
      <c r="G62" s="129">
        <v>-56.04166666666674</v>
      </c>
      <c r="H62" s="127">
        <f t="shared" si="11"/>
        <v>-48.56944444</v>
      </c>
      <c r="I62" s="82"/>
      <c r="J62" s="126">
        <v>10.0</v>
      </c>
      <c r="K62" s="127">
        <f t="shared" si="9"/>
        <v>-44.16666667</v>
      </c>
      <c r="L62" s="127">
        <f t="shared" si="10"/>
        <v>-52.9849537</v>
      </c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</row>
    <row r="63">
      <c r="A63" s="136">
        <v>24504.0</v>
      </c>
      <c r="B63" s="137">
        <v>667.0</v>
      </c>
      <c r="C63" s="82"/>
      <c r="D63" s="128">
        <v>10.0</v>
      </c>
      <c r="E63" s="95">
        <v>-40.25</v>
      </c>
      <c r="F63" s="101">
        <v>-41.33333333333337</v>
      </c>
      <c r="G63" s="129">
        <v>-50.91666666666674</v>
      </c>
      <c r="H63" s="127">
        <f t="shared" si="11"/>
        <v>-44.16666667</v>
      </c>
      <c r="I63" s="82"/>
      <c r="J63" s="126">
        <v>11.0</v>
      </c>
      <c r="K63" s="127">
        <f t="shared" si="9"/>
        <v>-64.79166667</v>
      </c>
      <c r="L63" s="127">
        <f t="shared" si="10"/>
        <v>-73.6099537</v>
      </c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</row>
    <row r="64">
      <c r="A64" s="136">
        <v>24532.0</v>
      </c>
      <c r="B64" s="137">
        <v>762.0</v>
      </c>
      <c r="C64" s="82"/>
      <c r="D64" s="128">
        <v>11.0</v>
      </c>
      <c r="E64" s="95">
        <v>-63.16666666666663</v>
      </c>
      <c r="F64" s="104">
        <v>-60.54166666666674</v>
      </c>
      <c r="G64" s="129">
        <v>-70.66666666666674</v>
      </c>
      <c r="H64" s="127">
        <f t="shared" si="11"/>
        <v>-64.79166667</v>
      </c>
      <c r="I64" s="82"/>
      <c r="J64" s="126">
        <v>12.0</v>
      </c>
      <c r="K64" s="127">
        <f t="shared" si="9"/>
        <v>-30.86111111</v>
      </c>
      <c r="L64" s="127">
        <f t="shared" si="10"/>
        <v>-39.67939815</v>
      </c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</row>
    <row r="65">
      <c r="A65" s="136">
        <v>24563.0</v>
      </c>
      <c r="B65" s="137">
        <v>784.0</v>
      </c>
      <c r="C65" s="82"/>
      <c r="D65" s="128">
        <v>12.0</v>
      </c>
      <c r="E65" s="95">
        <v>-31.333333333333258</v>
      </c>
      <c r="F65" s="104">
        <v>-23.25</v>
      </c>
      <c r="G65" s="129">
        <v>-38.0</v>
      </c>
      <c r="H65" s="127">
        <f t="shared" si="11"/>
        <v>-30.86111111</v>
      </c>
      <c r="I65" s="82"/>
      <c r="J65" s="80" t="s">
        <v>14</v>
      </c>
      <c r="K65" s="138">
        <f t="shared" ref="K65:L65" si="12">sum(K53:K64)</f>
        <v>105.8194444</v>
      </c>
      <c r="L65" s="138">
        <f t="shared" si="12"/>
        <v>0</v>
      </c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</row>
    <row r="66">
      <c r="A66" s="136">
        <v>24593.0</v>
      </c>
      <c r="B66" s="137">
        <v>837.0</v>
      </c>
      <c r="C66" s="82"/>
      <c r="D66" s="82"/>
      <c r="E66" s="82"/>
      <c r="F66" s="82"/>
      <c r="G66" s="82"/>
      <c r="H66" s="82"/>
      <c r="I66" s="82"/>
      <c r="J66" s="80" t="s">
        <v>21</v>
      </c>
      <c r="K66" s="138">
        <f>average(K53:K64)</f>
        <v>8.818287037</v>
      </c>
      <c r="L66" s="138">
        <f>K66-$K$66</f>
        <v>0</v>
      </c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</row>
    <row r="67">
      <c r="A67" s="136">
        <v>24624.0</v>
      </c>
      <c r="B67" s="137">
        <v>817.0</v>
      </c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</row>
    <row r="68">
      <c r="A68" s="136">
        <v>24654.0</v>
      </c>
      <c r="B68" s="137">
        <v>767.0</v>
      </c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</row>
    <row r="69">
      <c r="A69" s="136">
        <v>24685.0</v>
      </c>
      <c r="B69" s="137">
        <v>722.0</v>
      </c>
      <c r="C69" s="82"/>
      <c r="D69" s="86" t="s">
        <v>3</v>
      </c>
      <c r="E69" s="85" t="s">
        <v>22</v>
      </c>
      <c r="F69" s="88" t="s">
        <v>56</v>
      </c>
      <c r="G69" s="88" t="s">
        <v>57</v>
      </c>
      <c r="H69" s="88" t="s">
        <v>58</v>
      </c>
      <c r="I69" s="88" t="s">
        <v>59</v>
      </c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</row>
    <row r="70">
      <c r="A70" s="136">
        <v>24716.0</v>
      </c>
      <c r="B70" s="137">
        <v>681.0</v>
      </c>
      <c r="C70" s="82"/>
      <c r="D70" s="94">
        <v>1.0</v>
      </c>
      <c r="E70" s="92">
        <v>589.0</v>
      </c>
      <c r="F70" s="95">
        <f t="shared" ref="F70:F117" si="13">M2+K2</f>
        <v>615.7910144</v>
      </c>
      <c r="G70" s="95">
        <f t="shared" ref="G70:G117" si="14">E70-F70</f>
        <v>-26.79101443</v>
      </c>
      <c r="H70" s="95"/>
      <c r="I70" s="95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</row>
    <row r="71">
      <c r="A71" s="139">
        <v>24746.0</v>
      </c>
      <c r="B71" s="137">
        <v>687.0</v>
      </c>
      <c r="C71" s="82"/>
      <c r="D71" s="94">
        <v>2.0</v>
      </c>
      <c r="E71" s="92">
        <v>561.0</v>
      </c>
      <c r="F71" s="95">
        <f t="shared" si="13"/>
        <v>616.962579</v>
      </c>
      <c r="G71" s="95">
        <f t="shared" si="14"/>
        <v>-55.96257897</v>
      </c>
      <c r="H71" s="95"/>
      <c r="I71" s="95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</row>
    <row r="72">
      <c r="A72" s="139">
        <v>24777.0</v>
      </c>
      <c r="B72" s="137">
        <v>660.0</v>
      </c>
      <c r="C72" s="82"/>
      <c r="D72" s="94">
        <v>3.0</v>
      </c>
      <c r="E72" s="92">
        <v>640.0</v>
      </c>
      <c r="F72" s="95">
        <f t="shared" si="13"/>
        <v>618.3033042</v>
      </c>
      <c r="G72" s="95">
        <f t="shared" si="14"/>
        <v>21.6966958</v>
      </c>
      <c r="H72" s="95">
        <f t="shared" ref="H72:H117" si="15">average(G70:G72)</f>
        <v>-20.3522992</v>
      </c>
      <c r="I72" s="95">
        <f t="shared" ref="I72:I117" si="16">G72-H72</f>
        <v>42.048995</v>
      </c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</row>
    <row r="73">
      <c r="A73" s="139">
        <v>24807.0</v>
      </c>
      <c r="B73" s="137">
        <v>698.0</v>
      </c>
      <c r="C73" s="82"/>
      <c r="D73" s="94">
        <v>4.0</v>
      </c>
      <c r="E73" s="92">
        <v>656.0</v>
      </c>
      <c r="F73" s="95">
        <f t="shared" si="13"/>
        <v>619.5424538</v>
      </c>
      <c r="G73" s="95">
        <f t="shared" si="14"/>
        <v>36.45754622</v>
      </c>
      <c r="H73" s="95">
        <f t="shared" si="15"/>
        <v>0.7305543525</v>
      </c>
      <c r="I73" s="95">
        <f t="shared" si="16"/>
        <v>35.72699187</v>
      </c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</row>
    <row r="74">
      <c r="A74" s="140">
        <v>24838.0</v>
      </c>
      <c r="B74" s="141">
        <v>717.0</v>
      </c>
      <c r="C74" s="82"/>
      <c r="D74" s="94">
        <v>5.0</v>
      </c>
      <c r="E74" s="92">
        <v>727.0</v>
      </c>
      <c r="F74" s="95">
        <f t="shared" si="13"/>
        <v>620.8565521</v>
      </c>
      <c r="G74" s="95">
        <f t="shared" si="14"/>
        <v>106.1434479</v>
      </c>
      <c r="H74" s="95">
        <f t="shared" si="15"/>
        <v>54.76589663</v>
      </c>
      <c r="I74" s="95">
        <f t="shared" si="16"/>
        <v>51.37755124</v>
      </c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</row>
    <row r="75">
      <c r="A75" s="140">
        <v>24869.0</v>
      </c>
      <c r="B75" s="141">
        <v>696.0</v>
      </c>
      <c r="C75" s="82"/>
      <c r="D75" s="94">
        <v>6.0</v>
      </c>
      <c r="E75" s="92">
        <v>697.0</v>
      </c>
      <c r="F75" s="95">
        <f t="shared" si="13"/>
        <v>622.0252581</v>
      </c>
      <c r="G75" s="95">
        <f t="shared" si="14"/>
        <v>74.9747419</v>
      </c>
      <c r="H75" s="95">
        <f t="shared" si="15"/>
        <v>72.52524533</v>
      </c>
      <c r="I75" s="95">
        <f t="shared" si="16"/>
        <v>2.44949657</v>
      </c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</row>
    <row r="76">
      <c r="A76" s="140">
        <v>24898.0</v>
      </c>
      <c r="B76" s="141">
        <v>775.0</v>
      </c>
      <c r="C76" s="82"/>
      <c r="D76" s="94">
        <v>7.0</v>
      </c>
      <c r="E76" s="92">
        <v>640.0</v>
      </c>
      <c r="F76" s="95">
        <f t="shared" si="13"/>
        <v>623.1516666</v>
      </c>
      <c r="G76" s="95">
        <f t="shared" si="14"/>
        <v>16.84833342</v>
      </c>
      <c r="H76" s="95">
        <f t="shared" si="15"/>
        <v>65.98884107</v>
      </c>
      <c r="I76" s="95">
        <f t="shared" si="16"/>
        <v>-49.14050765</v>
      </c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</row>
    <row r="77">
      <c r="A77" s="140">
        <v>24929.0</v>
      </c>
      <c r="B77" s="141">
        <v>796.0</v>
      </c>
      <c r="C77" s="82"/>
      <c r="D77" s="94">
        <v>8.0</v>
      </c>
      <c r="E77" s="92">
        <v>599.0</v>
      </c>
      <c r="F77" s="95">
        <f t="shared" si="13"/>
        <v>624.2978266</v>
      </c>
      <c r="G77" s="95">
        <f t="shared" si="14"/>
        <v>-25.29782663</v>
      </c>
      <c r="H77" s="95">
        <f t="shared" si="15"/>
        <v>22.1750829</v>
      </c>
      <c r="I77" s="95">
        <f t="shared" si="16"/>
        <v>-47.47290953</v>
      </c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</row>
    <row r="78">
      <c r="A78" s="140">
        <v>24959.0</v>
      </c>
      <c r="B78" s="141">
        <v>858.0</v>
      </c>
      <c r="C78" s="82"/>
      <c r="D78" s="94">
        <v>9.0</v>
      </c>
      <c r="E78" s="92">
        <v>568.0</v>
      </c>
      <c r="F78" s="95">
        <f t="shared" si="13"/>
        <v>625.4569226</v>
      </c>
      <c r="G78" s="95">
        <f t="shared" si="14"/>
        <v>-57.45692257</v>
      </c>
      <c r="H78" s="95">
        <f t="shared" si="15"/>
        <v>-21.96880526</v>
      </c>
      <c r="I78" s="95">
        <f t="shared" si="16"/>
        <v>-35.48811731</v>
      </c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</row>
    <row r="79">
      <c r="A79" s="140">
        <v>24990.0</v>
      </c>
      <c r="B79" s="141">
        <v>826.0</v>
      </c>
      <c r="C79" s="82"/>
      <c r="D79" s="94">
        <v>10.0</v>
      </c>
      <c r="E79" s="92">
        <v>577.0</v>
      </c>
      <c r="F79" s="95">
        <f t="shared" si="13"/>
        <v>626.6799369</v>
      </c>
      <c r="G79" s="95">
        <f t="shared" si="14"/>
        <v>-49.67993685</v>
      </c>
      <c r="H79" s="95">
        <f t="shared" si="15"/>
        <v>-44.14489535</v>
      </c>
      <c r="I79" s="95">
        <f t="shared" si="16"/>
        <v>-5.535041498</v>
      </c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</row>
    <row r="80">
      <c r="A80" s="140">
        <v>25020.0</v>
      </c>
      <c r="B80" s="141">
        <v>783.0</v>
      </c>
      <c r="C80" s="82"/>
      <c r="D80" s="94">
        <v>11.0</v>
      </c>
      <c r="E80" s="92">
        <v>553.0</v>
      </c>
      <c r="F80" s="95">
        <f t="shared" si="13"/>
        <v>627.8644759</v>
      </c>
      <c r="G80" s="95">
        <f t="shared" si="14"/>
        <v>-74.86447588</v>
      </c>
      <c r="H80" s="95">
        <f t="shared" si="15"/>
        <v>-60.66711177</v>
      </c>
      <c r="I80" s="95">
        <f t="shared" si="16"/>
        <v>-14.19736411</v>
      </c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</row>
    <row r="81">
      <c r="A81" s="140">
        <v>25051.0</v>
      </c>
      <c r="B81" s="141">
        <v>740.0</v>
      </c>
      <c r="C81" s="82"/>
      <c r="D81" s="94">
        <v>12.0</v>
      </c>
      <c r="E81" s="92">
        <v>582.0</v>
      </c>
      <c r="F81" s="95">
        <f t="shared" si="13"/>
        <v>629.1327739</v>
      </c>
      <c r="G81" s="95">
        <f t="shared" si="14"/>
        <v>-47.13277389</v>
      </c>
      <c r="H81" s="95">
        <f t="shared" si="15"/>
        <v>-57.22572888</v>
      </c>
      <c r="I81" s="95">
        <f t="shared" si="16"/>
        <v>10.09295498</v>
      </c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</row>
    <row r="82">
      <c r="A82" s="140">
        <v>25082.0</v>
      </c>
      <c r="B82" s="141">
        <v>701.0</v>
      </c>
      <c r="C82" s="82"/>
      <c r="D82" s="102">
        <v>13.0</v>
      </c>
      <c r="E82" s="99">
        <v>600.0</v>
      </c>
      <c r="F82" s="101">
        <f t="shared" si="13"/>
        <v>630.3846704</v>
      </c>
      <c r="G82" s="101">
        <f t="shared" si="14"/>
        <v>-30.38467043</v>
      </c>
      <c r="H82" s="101">
        <f t="shared" si="15"/>
        <v>-50.7939734</v>
      </c>
      <c r="I82" s="101">
        <f t="shared" si="16"/>
        <v>20.40930297</v>
      </c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</row>
    <row r="83">
      <c r="A83" s="142">
        <v>25112.0</v>
      </c>
      <c r="B83" s="141">
        <v>706.0</v>
      </c>
      <c r="C83" s="82"/>
      <c r="D83" s="102">
        <v>14.0</v>
      </c>
      <c r="E83" s="99">
        <v>566.0</v>
      </c>
      <c r="F83" s="101">
        <f t="shared" si="13"/>
        <v>631.556235</v>
      </c>
      <c r="G83" s="101">
        <f t="shared" si="14"/>
        <v>-65.55623497</v>
      </c>
      <c r="H83" s="101">
        <f t="shared" si="15"/>
        <v>-47.69122643</v>
      </c>
      <c r="I83" s="101">
        <f t="shared" si="16"/>
        <v>-17.86500854</v>
      </c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</row>
    <row r="84">
      <c r="A84" s="142">
        <v>25143.0</v>
      </c>
      <c r="B84" s="141">
        <v>677.0</v>
      </c>
      <c r="C84" s="82"/>
      <c r="D84" s="102">
        <v>15.0</v>
      </c>
      <c r="E84" s="99">
        <v>653.0</v>
      </c>
      <c r="F84" s="101">
        <f t="shared" si="13"/>
        <v>632.8969602</v>
      </c>
      <c r="G84" s="101">
        <f t="shared" si="14"/>
        <v>20.1030398</v>
      </c>
      <c r="H84" s="101">
        <f t="shared" si="15"/>
        <v>-25.27928853</v>
      </c>
      <c r="I84" s="101">
        <f t="shared" si="16"/>
        <v>45.38232833</v>
      </c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</row>
    <row r="85">
      <c r="A85" s="142">
        <v>25173.0</v>
      </c>
      <c r="B85" s="141">
        <v>711.0</v>
      </c>
      <c r="C85" s="82"/>
      <c r="D85" s="102">
        <v>16.0</v>
      </c>
      <c r="E85" s="99">
        <v>673.0</v>
      </c>
      <c r="F85" s="101">
        <f t="shared" si="13"/>
        <v>634.1361098</v>
      </c>
      <c r="G85" s="101">
        <f t="shared" si="14"/>
        <v>38.86389022</v>
      </c>
      <c r="H85" s="101">
        <f t="shared" si="15"/>
        <v>-2.196434981</v>
      </c>
      <c r="I85" s="101">
        <f t="shared" si="16"/>
        <v>41.06032521</v>
      </c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</row>
    <row r="86">
      <c r="A86" s="143">
        <v>25204.0</v>
      </c>
      <c r="B86" s="144">
        <v>734.0</v>
      </c>
      <c r="C86" s="82"/>
      <c r="D86" s="102">
        <v>17.0</v>
      </c>
      <c r="E86" s="99">
        <v>742.0</v>
      </c>
      <c r="F86" s="101">
        <f t="shared" si="13"/>
        <v>635.4502081</v>
      </c>
      <c r="G86" s="101">
        <f t="shared" si="14"/>
        <v>106.5497919</v>
      </c>
      <c r="H86" s="101">
        <f t="shared" si="15"/>
        <v>55.17224063</v>
      </c>
      <c r="I86" s="101">
        <f t="shared" si="16"/>
        <v>51.37755124</v>
      </c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</row>
    <row r="87">
      <c r="A87" s="143">
        <v>25235.0</v>
      </c>
      <c r="B87" s="144">
        <v>690.0</v>
      </c>
      <c r="C87" s="82"/>
      <c r="D87" s="102">
        <v>18.0</v>
      </c>
      <c r="E87" s="99">
        <v>716.0</v>
      </c>
      <c r="F87" s="101">
        <f t="shared" si="13"/>
        <v>636.6189141</v>
      </c>
      <c r="G87" s="101">
        <f t="shared" si="14"/>
        <v>79.3810859</v>
      </c>
      <c r="H87" s="101">
        <f t="shared" si="15"/>
        <v>74.93158933</v>
      </c>
      <c r="I87" s="101">
        <f t="shared" si="16"/>
        <v>4.44949657</v>
      </c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</row>
    <row r="88">
      <c r="A88" s="143">
        <v>25263.0</v>
      </c>
      <c r="B88" s="144">
        <v>785.0</v>
      </c>
      <c r="C88" s="82"/>
      <c r="D88" s="102">
        <v>19.0</v>
      </c>
      <c r="E88" s="99">
        <v>660.0</v>
      </c>
      <c r="F88" s="101">
        <f t="shared" si="13"/>
        <v>637.7453226</v>
      </c>
      <c r="G88" s="101">
        <f t="shared" si="14"/>
        <v>22.25467742</v>
      </c>
      <c r="H88" s="101">
        <f t="shared" si="15"/>
        <v>69.39518507</v>
      </c>
      <c r="I88" s="101">
        <f t="shared" si="16"/>
        <v>-47.14050765</v>
      </c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</row>
    <row r="89">
      <c r="A89" s="143">
        <v>25294.0</v>
      </c>
      <c r="B89" s="144">
        <v>805.0</v>
      </c>
      <c r="C89" s="82"/>
      <c r="D89" s="102">
        <v>20.0</v>
      </c>
      <c r="E89" s="99">
        <v>617.0</v>
      </c>
      <c r="F89" s="101">
        <f t="shared" si="13"/>
        <v>638.8914826</v>
      </c>
      <c r="G89" s="101">
        <f t="shared" si="14"/>
        <v>-21.89148263</v>
      </c>
      <c r="H89" s="101">
        <f t="shared" si="15"/>
        <v>26.5814269</v>
      </c>
      <c r="I89" s="101">
        <f t="shared" si="16"/>
        <v>-48.47290953</v>
      </c>
      <c r="J89" s="82"/>
      <c r="K89" s="82"/>
      <c r="L89" s="82"/>
      <c r="M89" s="82"/>
      <c r="N89" s="145" t="s">
        <v>60</v>
      </c>
      <c r="O89" s="82"/>
      <c r="P89" s="82"/>
      <c r="Q89" s="82"/>
      <c r="R89" s="82"/>
      <c r="S89" s="82"/>
      <c r="T89" s="82"/>
      <c r="U89" s="82"/>
      <c r="V89" s="82"/>
      <c r="W89" s="82"/>
      <c r="X89" s="82"/>
    </row>
    <row r="90">
      <c r="A90" s="143">
        <v>25324.0</v>
      </c>
      <c r="B90" s="144">
        <v>871.0</v>
      </c>
      <c r="C90" s="82"/>
      <c r="D90" s="102">
        <v>21.0</v>
      </c>
      <c r="E90" s="99">
        <v>583.0</v>
      </c>
      <c r="F90" s="101">
        <f t="shared" si="13"/>
        <v>640.0505786</v>
      </c>
      <c r="G90" s="101">
        <f t="shared" si="14"/>
        <v>-57.05057857</v>
      </c>
      <c r="H90" s="101">
        <f t="shared" si="15"/>
        <v>-18.8957946</v>
      </c>
      <c r="I90" s="101">
        <f t="shared" si="16"/>
        <v>-38.15478398</v>
      </c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</row>
    <row r="91">
      <c r="A91" s="143">
        <v>25355.0</v>
      </c>
      <c r="B91" s="144">
        <v>845.0</v>
      </c>
      <c r="C91" s="82"/>
      <c r="D91" s="102">
        <v>22.0</v>
      </c>
      <c r="E91" s="101">
        <v>587.0</v>
      </c>
      <c r="F91" s="101">
        <f t="shared" si="13"/>
        <v>641.2735929</v>
      </c>
      <c r="G91" s="101">
        <f t="shared" si="14"/>
        <v>-54.27359285</v>
      </c>
      <c r="H91" s="101">
        <f t="shared" si="15"/>
        <v>-44.40521802</v>
      </c>
      <c r="I91" s="101">
        <f t="shared" si="16"/>
        <v>-9.868374832</v>
      </c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</row>
    <row r="92">
      <c r="A92" s="143">
        <v>25385.0</v>
      </c>
      <c r="B92" s="144">
        <v>801.0</v>
      </c>
      <c r="C92" s="82"/>
      <c r="D92" s="102">
        <v>23.0</v>
      </c>
      <c r="E92" s="99">
        <v>565.0</v>
      </c>
      <c r="F92" s="101">
        <f t="shared" si="13"/>
        <v>642.4581319</v>
      </c>
      <c r="G92" s="101">
        <f t="shared" si="14"/>
        <v>-77.45813188</v>
      </c>
      <c r="H92" s="101">
        <f t="shared" si="15"/>
        <v>-62.92743443</v>
      </c>
      <c r="I92" s="101">
        <f t="shared" si="16"/>
        <v>-14.53069745</v>
      </c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</row>
    <row r="93">
      <c r="A93" s="143">
        <v>25416.0</v>
      </c>
      <c r="B93" s="144">
        <v>764.0</v>
      </c>
      <c r="C93" s="82"/>
      <c r="D93" s="102">
        <v>24.0</v>
      </c>
      <c r="E93" s="99">
        <v>598.0</v>
      </c>
      <c r="F93" s="101">
        <f t="shared" si="13"/>
        <v>643.7264299</v>
      </c>
      <c r="G93" s="101">
        <f t="shared" si="14"/>
        <v>-45.72642989</v>
      </c>
      <c r="H93" s="101">
        <f t="shared" si="15"/>
        <v>-59.15271821</v>
      </c>
      <c r="I93" s="101">
        <f t="shared" si="16"/>
        <v>13.42628832</v>
      </c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</row>
    <row r="94">
      <c r="A94" s="143">
        <v>25447.0</v>
      </c>
      <c r="B94" s="144">
        <v>725.0</v>
      </c>
      <c r="C94" s="82"/>
      <c r="D94" s="110">
        <v>25.0</v>
      </c>
      <c r="E94" s="108">
        <v>628.0</v>
      </c>
      <c r="F94" s="111">
        <f t="shared" si="13"/>
        <v>644.9783264</v>
      </c>
      <c r="G94" s="111">
        <f t="shared" si="14"/>
        <v>-16.97832643</v>
      </c>
      <c r="H94" s="111">
        <f t="shared" si="15"/>
        <v>-46.72096273</v>
      </c>
      <c r="I94" s="111">
        <f t="shared" si="16"/>
        <v>29.74263631</v>
      </c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</row>
    <row r="95">
      <c r="A95" s="146">
        <v>25477.0</v>
      </c>
      <c r="B95" s="144">
        <v>723.0</v>
      </c>
      <c r="C95" s="82"/>
      <c r="D95" s="110">
        <v>26.0</v>
      </c>
      <c r="E95" s="108">
        <v>618.0</v>
      </c>
      <c r="F95" s="111">
        <f t="shared" si="13"/>
        <v>646.149891</v>
      </c>
      <c r="G95" s="111">
        <f t="shared" si="14"/>
        <v>-28.14989097</v>
      </c>
      <c r="H95" s="111">
        <f t="shared" si="15"/>
        <v>-30.28488243</v>
      </c>
      <c r="I95" s="111">
        <f t="shared" si="16"/>
        <v>2.13499146</v>
      </c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</row>
    <row r="96">
      <c r="A96" s="146">
        <v>25508.0</v>
      </c>
      <c r="B96" s="144">
        <v>690.0</v>
      </c>
      <c r="C96" s="82"/>
      <c r="D96" s="110">
        <v>27.0</v>
      </c>
      <c r="E96" s="108">
        <v>688.0</v>
      </c>
      <c r="F96" s="111">
        <f t="shared" si="13"/>
        <v>647.4906162</v>
      </c>
      <c r="G96" s="111">
        <f t="shared" si="14"/>
        <v>40.5093838</v>
      </c>
      <c r="H96" s="111">
        <f t="shared" si="15"/>
        <v>-1.539611198</v>
      </c>
      <c r="I96" s="111">
        <f t="shared" si="16"/>
        <v>42.048995</v>
      </c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</row>
    <row r="97">
      <c r="A97" s="146">
        <v>25538.0</v>
      </c>
      <c r="B97" s="144">
        <v>734.0</v>
      </c>
      <c r="C97" s="82"/>
      <c r="D97" s="110">
        <v>28.0</v>
      </c>
      <c r="E97" s="108">
        <v>705.0</v>
      </c>
      <c r="F97" s="111">
        <f t="shared" si="13"/>
        <v>648.7297658</v>
      </c>
      <c r="G97" s="111">
        <f t="shared" si="14"/>
        <v>56.27023422</v>
      </c>
      <c r="H97" s="111">
        <f t="shared" si="15"/>
        <v>22.87657569</v>
      </c>
      <c r="I97" s="111">
        <f t="shared" si="16"/>
        <v>33.39365854</v>
      </c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</row>
    <row r="98">
      <c r="A98" s="147">
        <v>25569.0</v>
      </c>
      <c r="B98" s="148">
        <v>750.0</v>
      </c>
      <c r="C98" s="82"/>
      <c r="D98" s="110">
        <v>29.0</v>
      </c>
      <c r="E98" s="108">
        <v>770.0</v>
      </c>
      <c r="F98" s="111">
        <f t="shared" si="13"/>
        <v>650.0438641</v>
      </c>
      <c r="G98" s="111">
        <f t="shared" si="14"/>
        <v>119.9561359</v>
      </c>
      <c r="H98" s="111">
        <f t="shared" si="15"/>
        <v>72.2452513</v>
      </c>
      <c r="I98" s="111">
        <f t="shared" si="16"/>
        <v>47.71088457</v>
      </c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</row>
    <row r="99">
      <c r="A99" s="147">
        <v>25600.0</v>
      </c>
      <c r="B99" s="148">
        <v>707.0</v>
      </c>
      <c r="C99" s="82"/>
      <c r="D99" s="110">
        <v>30.0</v>
      </c>
      <c r="E99" s="108">
        <v>736.0</v>
      </c>
      <c r="F99" s="111">
        <f t="shared" si="13"/>
        <v>651.2125701</v>
      </c>
      <c r="G99" s="111">
        <f t="shared" si="14"/>
        <v>84.7874299</v>
      </c>
      <c r="H99" s="111">
        <f t="shared" si="15"/>
        <v>87.0046</v>
      </c>
      <c r="I99" s="111">
        <f t="shared" si="16"/>
        <v>-2.217170097</v>
      </c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</row>
    <row r="100">
      <c r="A100" s="147">
        <v>25628.0</v>
      </c>
      <c r="B100" s="148">
        <v>807.0</v>
      </c>
      <c r="C100" s="82"/>
      <c r="D100" s="110">
        <v>31.0</v>
      </c>
      <c r="E100" s="108">
        <v>678.0</v>
      </c>
      <c r="F100" s="111">
        <f t="shared" si="13"/>
        <v>652.3389786</v>
      </c>
      <c r="G100" s="111">
        <f t="shared" si="14"/>
        <v>25.66102142</v>
      </c>
      <c r="H100" s="111">
        <f t="shared" si="15"/>
        <v>76.80152907</v>
      </c>
      <c r="I100" s="111">
        <f t="shared" si="16"/>
        <v>-51.14050765</v>
      </c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</row>
    <row r="101">
      <c r="A101" s="147">
        <v>25659.0</v>
      </c>
      <c r="B101" s="148">
        <v>824.0</v>
      </c>
      <c r="C101" s="82"/>
      <c r="D101" s="110">
        <v>32.0</v>
      </c>
      <c r="E101" s="108">
        <v>639.0</v>
      </c>
      <c r="F101" s="111">
        <f t="shared" si="13"/>
        <v>653.4851386</v>
      </c>
      <c r="G101" s="111">
        <f t="shared" si="14"/>
        <v>-14.48513863</v>
      </c>
      <c r="H101" s="111">
        <f t="shared" si="15"/>
        <v>31.9877709</v>
      </c>
      <c r="I101" s="111">
        <f t="shared" si="16"/>
        <v>-46.47290953</v>
      </c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</row>
    <row r="102">
      <c r="A102" s="147">
        <v>25689.0</v>
      </c>
      <c r="B102" s="148">
        <v>886.0</v>
      </c>
      <c r="C102" s="82"/>
      <c r="D102" s="110">
        <v>33.0</v>
      </c>
      <c r="E102" s="108">
        <v>604.0</v>
      </c>
      <c r="F102" s="111">
        <f t="shared" si="13"/>
        <v>654.6442346</v>
      </c>
      <c r="G102" s="111">
        <f t="shared" si="14"/>
        <v>-50.64423457</v>
      </c>
      <c r="H102" s="111">
        <f t="shared" si="15"/>
        <v>-13.15611726</v>
      </c>
      <c r="I102" s="111">
        <f t="shared" si="16"/>
        <v>-37.48811731</v>
      </c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</row>
    <row r="103">
      <c r="A103" s="147">
        <v>25720.0</v>
      </c>
      <c r="B103" s="148">
        <v>859.0</v>
      </c>
      <c r="C103" s="82"/>
      <c r="D103" s="110">
        <v>34.0</v>
      </c>
      <c r="E103" s="108">
        <v>611.0</v>
      </c>
      <c r="F103" s="111">
        <f t="shared" si="13"/>
        <v>655.8672489</v>
      </c>
      <c r="G103" s="111">
        <f t="shared" si="14"/>
        <v>-44.86724885</v>
      </c>
      <c r="H103" s="111">
        <f t="shared" si="15"/>
        <v>-36.66554069</v>
      </c>
      <c r="I103" s="111">
        <f t="shared" si="16"/>
        <v>-8.201708165</v>
      </c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</row>
    <row r="104">
      <c r="A104" s="147">
        <v>25750.0</v>
      </c>
      <c r="B104" s="148">
        <v>819.0</v>
      </c>
      <c r="C104" s="82"/>
      <c r="D104" s="110">
        <v>35.0</v>
      </c>
      <c r="E104" s="108">
        <v>594.0</v>
      </c>
      <c r="F104" s="111">
        <f t="shared" si="13"/>
        <v>657.0517879</v>
      </c>
      <c r="G104" s="111">
        <f t="shared" si="14"/>
        <v>-63.05178788</v>
      </c>
      <c r="H104" s="111">
        <f t="shared" si="15"/>
        <v>-52.85442377</v>
      </c>
      <c r="I104" s="111">
        <f t="shared" si="16"/>
        <v>-10.19736411</v>
      </c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</row>
    <row r="105">
      <c r="A105" s="147">
        <v>25781.0</v>
      </c>
      <c r="B105" s="148">
        <v>783.0</v>
      </c>
      <c r="C105" s="82"/>
      <c r="D105" s="110">
        <v>36.0</v>
      </c>
      <c r="E105" s="108">
        <v>634.0</v>
      </c>
      <c r="F105" s="111">
        <f t="shared" si="13"/>
        <v>658.3200859</v>
      </c>
      <c r="G105" s="111">
        <f t="shared" si="14"/>
        <v>-24.32008589</v>
      </c>
      <c r="H105" s="111">
        <f t="shared" si="15"/>
        <v>-44.07970754</v>
      </c>
      <c r="I105" s="111">
        <f t="shared" si="16"/>
        <v>19.75962165</v>
      </c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</row>
    <row r="106">
      <c r="A106" s="147">
        <v>25812.0</v>
      </c>
      <c r="B106" s="148">
        <v>740.0</v>
      </c>
      <c r="C106" s="82"/>
      <c r="D106" s="118">
        <v>37.0</v>
      </c>
      <c r="E106" s="115">
        <v>658.0</v>
      </c>
      <c r="F106" s="117">
        <f t="shared" si="13"/>
        <v>659.5719824</v>
      </c>
      <c r="G106" s="117">
        <f t="shared" si="14"/>
        <v>-1.571982426</v>
      </c>
      <c r="H106" s="117">
        <f t="shared" si="15"/>
        <v>-29.64795207</v>
      </c>
      <c r="I106" s="117">
        <f t="shared" si="16"/>
        <v>28.07596964</v>
      </c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</row>
    <row r="107">
      <c r="A107" s="149">
        <v>25842.0</v>
      </c>
      <c r="B107" s="148">
        <v>747.0</v>
      </c>
      <c r="C107" s="82"/>
      <c r="D107" s="118">
        <v>38.0</v>
      </c>
      <c r="E107" s="115">
        <v>622.0</v>
      </c>
      <c r="F107" s="117">
        <f t="shared" si="13"/>
        <v>660.743547</v>
      </c>
      <c r="G107" s="117">
        <f t="shared" si="14"/>
        <v>-38.74354697</v>
      </c>
      <c r="H107" s="117">
        <f t="shared" si="15"/>
        <v>-21.5452051</v>
      </c>
      <c r="I107" s="117">
        <f t="shared" si="16"/>
        <v>-17.19834187</v>
      </c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</row>
    <row r="108">
      <c r="A108" s="149">
        <v>25873.0</v>
      </c>
      <c r="B108" s="148">
        <v>711.0</v>
      </c>
      <c r="C108" s="82"/>
      <c r="D108" s="118">
        <v>39.0</v>
      </c>
      <c r="E108" s="115">
        <v>709.0</v>
      </c>
      <c r="F108" s="117">
        <f t="shared" si="13"/>
        <v>662.0842722</v>
      </c>
      <c r="G108" s="117">
        <f t="shared" si="14"/>
        <v>46.9157278</v>
      </c>
      <c r="H108" s="117">
        <f t="shared" si="15"/>
        <v>2.200066136</v>
      </c>
      <c r="I108" s="117">
        <f t="shared" si="16"/>
        <v>44.71566167</v>
      </c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</row>
    <row r="109">
      <c r="A109" s="149">
        <v>25903.0</v>
      </c>
      <c r="B109" s="148">
        <v>751.0</v>
      </c>
      <c r="C109" s="82"/>
      <c r="D109" s="118">
        <v>40.0</v>
      </c>
      <c r="E109" s="115">
        <v>722.0</v>
      </c>
      <c r="F109" s="117">
        <f t="shared" si="13"/>
        <v>663.3234218</v>
      </c>
      <c r="G109" s="117">
        <f t="shared" si="14"/>
        <v>58.67657822</v>
      </c>
      <c r="H109" s="117">
        <f t="shared" si="15"/>
        <v>22.28291969</v>
      </c>
      <c r="I109" s="117">
        <f t="shared" si="16"/>
        <v>36.39365854</v>
      </c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</row>
    <row r="110">
      <c r="A110" s="150">
        <v>25934.0</v>
      </c>
      <c r="B110" s="151">
        <v>804.0</v>
      </c>
      <c r="C110" s="82"/>
      <c r="D110" s="118">
        <v>41.0</v>
      </c>
      <c r="E110" s="115">
        <v>782.0</v>
      </c>
      <c r="F110" s="117">
        <f t="shared" si="13"/>
        <v>664.6375201</v>
      </c>
      <c r="G110" s="117">
        <f t="shared" si="14"/>
        <v>117.3624799</v>
      </c>
      <c r="H110" s="117">
        <f t="shared" si="15"/>
        <v>74.31826197</v>
      </c>
      <c r="I110" s="117">
        <f t="shared" si="16"/>
        <v>43.04421791</v>
      </c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</row>
    <row r="111">
      <c r="A111" s="150">
        <v>25965.0</v>
      </c>
      <c r="B111" s="151">
        <v>756.0</v>
      </c>
      <c r="C111" s="82"/>
      <c r="D111" s="118">
        <v>42.0</v>
      </c>
      <c r="E111" s="115">
        <v>756.0</v>
      </c>
      <c r="F111" s="117">
        <f t="shared" si="13"/>
        <v>665.8062261</v>
      </c>
      <c r="G111" s="117">
        <f t="shared" si="14"/>
        <v>90.1937739</v>
      </c>
      <c r="H111" s="117">
        <f t="shared" si="15"/>
        <v>88.74427733</v>
      </c>
      <c r="I111" s="117">
        <f t="shared" si="16"/>
        <v>1.44949657</v>
      </c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</row>
    <row r="112">
      <c r="A112" s="150">
        <v>25993.0</v>
      </c>
      <c r="B112" s="151">
        <v>860.0</v>
      </c>
      <c r="C112" s="82"/>
      <c r="D112" s="118">
        <v>43.0</v>
      </c>
      <c r="E112" s="115">
        <v>702.0</v>
      </c>
      <c r="F112" s="117">
        <f t="shared" si="13"/>
        <v>666.9326346</v>
      </c>
      <c r="G112" s="117">
        <f t="shared" si="14"/>
        <v>35.06736542</v>
      </c>
      <c r="H112" s="117">
        <f t="shared" si="15"/>
        <v>80.87453973</v>
      </c>
      <c r="I112" s="117">
        <f t="shared" si="16"/>
        <v>-45.80717431</v>
      </c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</row>
    <row r="113">
      <c r="A113" s="150">
        <v>26024.0</v>
      </c>
      <c r="B113" s="151">
        <v>878.0</v>
      </c>
      <c r="C113" s="82"/>
      <c r="D113" s="118">
        <v>44.0</v>
      </c>
      <c r="E113" s="115">
        <v>653.0</v>
      </c>
      <c r="F113" s="117">
        <f t="shared" si="13"/>
        <v>668.0787946</v>
      </c>
      <c r="G113" s="117">
        <f t="shared" si="14"/>
        <v>-15.07879463</v>
      </c>
      <c r="H113" s="117">
        <f t="shared" si="15"/>
        <v>36.72744823</v>
      </c>
      <c r="I113" s="117">
        <f t="shared" si="16"/>
        <v>-51.80624286</v>
      </c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</row>
    <row r="114">
      <c r="A114" s="150">
        <v>26054.0</v>
      </c>
      <c r="B114" s="151">
        <v>942.0</v>
      </c>
      <c r="C114" s="82"/>
      <c r="D114" s="118">
        <v>45.0</v>
      </c>
      <c r="E114" s="115">
        <v>615.0</v>
      </c>
      <c r="F114" s="117">
        <f t="shared" si="13"/>
        <v>669.2378906</v>
      </c>
      <c r="G114" s="117">
        <f t="shared" si="14"/>
        <v>-54.23789057</v>
      </c>
      <c r="H114" s="117">
        <f t="shared" si="15"/>
        <v>-11.41643993</v>
      </c>
      <c r="I114" s="117">
        <f t="shared" si="16"/>
        <v>-42.82145064</v>
      </c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</row>
    <row r="115">
      <c r="A115" s="150">
        <v>26085.0</v>
      </c>
      <c r="B115" s="151">
        <v>913.0</v>
      </c>
      <c r="C115" s="82"/>
      <c r="D115" s="118">
        <v>46.0</v>
      </c>
      <c r="E115" s="115">
        <v>621.0</v>
      </c>
      <c r="F115" s="117">
        <f t="shared" si="13"/>
        <v>670.4609049</v>
      </c>
      <c r="G115" s="117">
        <f t="shared" si="14"/>
        <v>-49.46090485</v>
      </c>
      <c r="H115" s="117">
        <f t="shared" si="15"/>
        <v>-39.59253002</v>
      </c>
      <c r="I115" s="117">
        <f t="shared" si="16"/>
        <v>-9.868374832</v>
      </c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</row>
    <row r="116">
      <c r="A116" s="150">
        <v>26115.0</v>
      </c>
      <c r="B116" s="151">
        <v>869.0</v>
      </c>
      <c r="C116" s="82"/>
      <c r="D116" s="118">
        <v>47.0</v>
      </c>
      <c r="E116" s="115">
        <v>602.0</v>
      </c>
      <c r="F116" s="117">
        <f t="shared" si="13"/>
        <v>671.6454439</v>
      </c>
      <c r="G116" s="117">
        <f t="shared" si="14"/>
        <v>-69.64544388</v>
      </c>
      <c r="H116" s="117">
        <f t="shared" si="15"/>
        <v>-57.7814131</v>
      </c>
      <c r="I116" s="117">
        <f t="shared" si="16"/>
        <v>-11.86403078</v>
      </c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</row>
    <row r="117">
      <c r="A117" s="150">
        <v>26146.0</v>
      </c>
      <c r="B117" s="151">
        <v>834.0</v>
      </c>
      <c r="C117" s="82"/>
      <c r="D117" s="118">
        <v>48.0</v>
      </c>
      <c r="E117" s="115">
        <v>635.0</v>
      </c>
      <c r="F117" s="117">
        <f t="shared" si="13"/>
        <v>672.9137419</v>
      </c>
      <c r="G117" s="117">
        <f t="shared" si="14"/>
        <v>-37.91374189</v>
      </c>
      <c r="H117" s="117">
        <f t="shared" si="15"/>
        <v>-52.34003021</v>
      </c>
      <c r="I117" s="117">
        <f t="shared" si="16"/>
        <v>14.42628832</v>
      </c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</row>
    <row r="118">
      <c r="A118" s="150">
        <v>26177.0</v>
      </c>
      <c r="B118" s="151">
        <v>790.0</v>
      </c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</row>
    <row r="119">
      <c r="A119" s="152">
        <v>26207.0</v>
      </c>
      <c r="B119" s="151">
        <v>800.0</v>
      </c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</row>
    <row r="120">
      <c r="A120" s="152">
        <v>26238.0</v>
      </c>
      <c r="B120" s="151">
        <v>763.0</v>
      </c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</row>
    <row r="121">
      <c r="A121" s="152">
        <v>26268.0</v>
      </c>
      <c r="B121" s="151">
        <v>800.0</v>
      </c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</row>
    <row r="122">
      <c r="A122" s="153">
        <v>26299.0</v>
      </c>
      <c r="B122" s="154">
        <v>826.0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</row>
    <row r="123">
      <c r="A123" s="153">
        <v>26330.0</v>
      </c>
      <c r="B123" s="154">
        <v>799.0</v>
      </c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</row>
    <row r="124">
      <c r="A124" s="153">
        <v>26359.0</v>
      </c>
      <c r="B124" s="154">
        <v>890.0</v>
      </c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</row>
    <row r="125">
      <c r="A125" s="153">
        <v>26390.0</v>
      </c>
      <c r="B125" s="154">
        <v>900.0</v>
      </c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</row>
    <row r="126">
      <c r="A126" s="153">
        <v>26420.0</v>
      </c>
      <c r="B126" s="154">
        <v>961.0</v>
      </c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</row>
    <row r="127">
      <c r="A127" s="153">
        <v>26451.0</v>
      </c>
      <c r="B127" s="154">
        <v>935.0</v>
      </c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</row>
    <row r="128">
      <c r="A128" s="153">
        <v>26481.0</v>
      </c>
      <c r="B128" s="154">
        <v>894.0</v>
      </c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</row>
    <row r="129">
      <c r="A129" s="153">
        <v>26512.0</v>
      </c>
      <c r="B129" s="154">
        <v>855.0</v>
      </c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</row>
    <row r="130">
      <c r="A130" s="153">
        <v>26543.0</v>
      </c>
      <c r="B130" s="154">
        <v>809.0</v>
      </c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</row>
    <row r="131">
      <c r="A131" s="155">
        <v>26573.0</v>
      </c>
      <c r="B131" s="154">
        <v>810.0</v>
      </c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</row>
    <row r="132">
      <c r="A132" s="155">
        <v>26604.0</v>
      </c>
      <c r="B132" s="154">
        <v>766.0</v>
      </c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</row>
    <row r="133">
      <c r="A133" s="155">
        <v>26634.0</v>
      </c>
      <c r="B133" s="154">
        <v>805.0</v>
      </c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</row>
    <row r="134">
      <c r="A134" s="156">
        <v>26665.0</v>
      </c>
      <c r="B134" s="157">
        <v>821.0</v>
      </c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</row>
    <row r="135">
      <c r="A135" s="156">
        <v>26696.0</v>
      </c>
      <c r="B135" s="157">
        <v>773.0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</row>
    <row r="136">
      <c r="A136" s="156">
        <v>26724.0</v>
      </c>
      <c r="B136" s="157">
        <v>883.0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</row>
    <row r="137">
      <c r="A137" s="156">
        <v>26755.0</v>
      </c>
      <c r="B137" s="157">
        <v>898.0</v>
      </c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</row>
    <row r="138">
      <c r="A138" s="156">
        <v>26785.0</v>
      </c>
      <c r="B138" s="157">
        <v>957.0</v>
      </c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</row>
    <row r="139">
      <c r="A139" s="156">
        <v>26816.0</v>
      </c>
      <c r="B139" s="157">
        <v>924.0</v>
      </c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</row>
    <row r="140">
      <c r="A140" s="156">
        <v>26846.0</v>
      </c>
      <c r="B140" s="157">
        <v>881.0</v>
      </c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</row>
    <row r="141">
      <c r="A141" s="156">
        <v>26877.0</v>
      </c>
      <c r="B141" s="157">
        <v>837.0</v>
      </c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</row>
    <row r="142">
      <c r="A142" s="156">
        <v>26908.0</v>
      </c>
      <c r="B142" s="157">
        <v>784.0</v>
      </c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</row>
    <row r="143">
      <c r="A143" s="158">
        <v>26938.0</v>
      </c>
      <c r="B143" s="157">
        <v>791.0</v>
      </c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</row>
    <row r="144">
      <c r="A144" s="158">
        <v>26969.0</v>
      </c>
      <c r="B144" s="157">
        <v>760.0</v>
      </c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</row>
    <row r="145">
      <c r="A145" s="158">
        <v>26999.0</v>
      </c>
      <c r="B145" s="157">
        <v>802.0</v>
      </c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</row>
    <row r="146">
      <c r="A146" s="159">
        <v>27030.0</v>
      </c>
      <c r="B146" s="160">
        <v>828.0</v>
      </c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</row>
    <row r="147">
      <c r="A147" s="159">
        <v>27061.0</v>
      </c>
      <c r="B147" s="160">
        <v>778.0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</row>
    <row r="148">
      <c r="A148" s="159">
        <v>27089.0</v>
      </c>
      <c r="B148" s="160">
        <v>889.0</v>
      </c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</row>
    <row r="149">
      <c r="A149" s="159">
        <v>27120.0</v>
      </c>
      <c r="B149" s="160">
        <v>902.0</v>
      </c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</row>
    <row r="150">
      <c r="A150" s="159">
        <v>27150.0</v>
      </c>
      <c r="B150" s="160">
        <v>969.0</v>
      </c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</row>
    <row r="151">
      <c r="A151" s="159">
        <v>27181.0</v>
      </c>
      <c r="B151" s="160">
        <v>947.0</v>
      </c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</row>
    <row r="152">
      <c r="A152" s="159">
        <v>27211.0</v>
      </c>
      <c r="B152" s="160">
        <v>908.0</v>
      </c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</row>
    <row r="153">
      <c r="A153" s="159">
        <v>27242.0</v>
      </c>
      <c r="B153" s="160">
        <v>867.0</v>
      </c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</row>
    <row r="154">
      <c r="A154" s="159">
        <v>27273.0</v>
      </c>
      <c r="B154" s="160">
        <v>815.0</v>
      </c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</row>
    <row r="155">
      <c r="A155" s="161">
        <v>27303.0</v>
      </c>
      <c r="B155" s="160">
        <v>812.0</v>
      </c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</row>
    <row r="156">
      <c r="A156" s="161">
        <v>27334.0</v>
      </c>
      <c r="B156" s="160">
        <v>773.0</v>
      </c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</row>
    <row r="157">
      <c r="A157" s="161">
        <v>27364.0</v>
      </c>
      <c r="B157" s="160">
        <v>813.0</v>
      </c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</row>
    <row r="158">
      <c r="A158" s="140">
        <v>27395.0</v>
      </c>
      <c r="B158" s="141">
        <v>834.0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</row>
    <row r="159">
      <c r="A159" s="140">
        <v>27426.0</v>
      </c>
      <c r="B159" s="141">
        <v>782.0</v>
      </c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</row>
    <row r="160">
      <c r="A160" s="140">
        <v>27454.0</v>
      </c>
      <c r="B160" s="141">
        <v>892.0</v>
      </c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</row>
    <row r="161">
      <c r="A161" s="140">
        <v>27485.0</v>
      </c>
      <c r="B161" s="141">
        <v>903.0</v>
      </c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</row>
    <row r="162">
      <c r="A162" s="140">
        <v>27515.0</v>
      </c>
      <c r="B162" s="141">
        <v>966.0</v>
      </c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</row>
    <row r="163">
      <c r="A163" s="140">
        <v>27546.0</v>
      </c>
      <c r="B163" s="141">
        <v>937.0</v>
      </c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</row>
    <row r="164">
      <c r="A164" s="140">
        <v>27576.0</v>
      </c>
      <c r="B164" s="141">
        <v>896.0</v>
      </c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</row>
    <row r="165">
      <c r="A165" s="140">
        <v>27607.0</v>
      </c>
      <c r="B165" s="141">
        <v>858.0</v>
      </c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</row>
    <row r="166">
      <c r="A166" s="140">
        <v>27638.0</v>
      </c>
      <c r="B166" s="141">
        <v>817.0</v>
      </c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</row>
    <row r="167">
      <c r="A167" s="142">
        <v>27668.0</v>
      </c>
      <c r="B167" s="141">
        <v>827.0</v>
      </c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</row>
    <row r="168">
      <c r="A168" s="142">
        <v>27699.0</v>
      </c>
      <c r="B168" s="141">
        <v>797.0</v>
      </c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</row>
    <row r="169">
      <c r="A169" s="142">
        <v>27729.0</v>
      </c>
      <c r="B169" s="141">
        <v>843.0</v>
      </c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</row>
    <row r="170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</row>
    <row r="171">
      <c r="A171" s="162"/>
      <c r="B171" s="16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</row>
    <row r="172">
      <c r="A172" s="131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</row>
    <row r="173">
      <c r="A173" s="162"/>
      <c r="B173" s="16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</row>
    <row r="174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</row>
    <row r="17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</row>
    <row r="176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</row>
    <row r="177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</row>
    <row r="178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</row>
    <row r="179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</row>
    <row r="180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</row>
    <row r="18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</row>
    <row r="182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</row>
    <row r="183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</row>
    <row r="184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</row>
    <row r="18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</row>
    <row r="186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</row>
    <row r="187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</row>
    <row r="188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</row>
    <row r="189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</row>
    <row r="190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</row>
    <row r="19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</row>
    <row r="192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</row>
    <row r="193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</row>
    <row r="194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</row>
    <row r="19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</row>
    <row r="196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</row>
    <row r="197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</row>
    <row r="198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</row>
    <row r="199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</row>
    <row r="200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</row>
    <row r="20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</row>
    <row r="202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</row>
    <row r="203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</row>
    <row r="204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</row>
    <row r="20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</row>
    <row r="206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</row>
    <row r="207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</row>
    <row r="208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</row>
    <row r="209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</row>
    <row r="210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</row>
    <row r="21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</row>
    <row r="212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</row>
    <row r="213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</row>
    <row r="214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</row>
    <row r="21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</row>
    <row r="216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</row>
    <row r="217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</row>
    <row r="218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</row>
    <row r="219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</row>
    <row r="220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</row>
    <row r="22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</row>
    <row r="222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</row>
    <row r="223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</row>
    <row r="224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</row>
    <row r="22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</row>
    <row r="226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</row>
    <row r="227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</row>
    <row r="228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</row>
    <row r="229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</row>
    <row r="230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</row>
    <row r="23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</row>
    <row r="232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</row>
    <row r="233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</row>
    <row r="234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</row>
    <row r="23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</row>
    <row r="236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</row>
    <row r="237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</row>
    <row r="238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</row>
    <row r="239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</row>
    <row r="240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</row>
    <row r="24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</row>
    <row r="2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</row>
    <row r="249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</row>
    <row r="254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</row>
    <row r="260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</row>
    <row r="272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</row>
    <row r="273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</row>
    <row r="274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</row>
    <row r="27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</row>
    <row r="276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</row>
    <row r="277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</row>
    <row r="278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</row>
    <row r="279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</row>
    <row r="280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</row>
    <row r="28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</row>
    <row r="282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</row>
    <row r="283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</row>
    <row r="284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</row>
    <row r="28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</row>
    <row r="286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</row>
    <row r="287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</row>
    <row r="288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</row>
    <row r="289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</row>
    <row r="290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</row>
    <row r="29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</row>
    <row r="292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</row>
    <row r="293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</row>
    <row r="294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</row>
    <row r="29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</row>
    <row r="296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</row>
    <row r="297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</row>
    <row r="298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</row>
    <row r="299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</row>
    <row r="300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</row>
    <row r="30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</row>
    <row r="302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</row>
    <row r="303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</row>
    <row r="304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</row>
    <row r="30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</row>
    <row r="306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</row>
    <row r="307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</row>
    <row r="308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</row>
    <row r="309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</row>
    <row r="310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</row>
    <row r="31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</row>
    <row r="312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</row>
    <row r="313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</row>
    <row r="314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</row>
    <row r="31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</row>
    <row r="316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</row>
    <row r="317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</row>
    <row r="318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</row>
    <row r="319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</row>
    <row r="320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</row>
    <row r="32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</row>
    <row r="322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</row>
    <row r="323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</row>
    <row r="324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</row>
    <row r="32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</row>
    <row r="326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</row>
    <row r="327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</row>
    <row r="328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</row>
    <row r="329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</row>
    <row r="330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</row>
    <row r="33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</row>
    <row r="332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</row>
    <row r="333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</row>
    <row r="334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</row>
    <row r="33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</row>
    <row r="336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</row>
    <row r="337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</row>
    <row r="338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</row>
    <row r="339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</row>
    <row r="340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</row>
    <row r="34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</row>
    <row r="342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</row>
    <row r="343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</row>
    <row r="344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</row>
    <row r="3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</row>
    <row r="346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</row>
    <row r="347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</row>
    <row r="348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</row>
    <row r="349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</row>
    <row r="350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</row>
    <row r="35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</row>
    <row r="352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</row>
    <row r="353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</row>
    <row r="354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</row>
    <row r="35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</row>
    <row r="356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</row>
    <row r="357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</row>
    <row r="358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</row>
    <row r="359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</row>
    <row r="360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</row>
    <row r="36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</row>
    <row r="362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</row>
    <row r="363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</row>
    <row r="364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</row>
    <row r="36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</row>
    <row r="366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</row>
    <row r="367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</row>
    <row r="368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</row>
    <row r="369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</row>
    <row r="370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</row>
    <row r="37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</row>
    <row r="372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</row>
    <row r="373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</row>
    <row r="374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</row>
    <row r="3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</row>
    <row r="376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</row>
    <row r="377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</row>
    <row r="378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</row>
    <row r="379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</row>
    <row r="380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</row>
    <row r="38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</row>
    <row r="382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</row>
    <row r="383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</row>
    <row r="384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</row>
    <row r="38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</row>
    <row r="386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</row>
    <row r="387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</row>
    <row r="388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</row>
    <row r="389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</row>
    <row r="390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</row>
    <row r="39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</row>
    <row r="392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</row>
    <row r="393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</row>
    <row r="394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</row>
    <row r="39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</row>
    <row r="396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</row>
    <row r="397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</row>
    <row r="398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</row>
    <row r="399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</row>
    <row r="400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</row>
    <row r="40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</row>
    <row r="402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</row>
    <row r="403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</row>
    <row r="404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</row>
    <row r="40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</row>
    <row r="406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</row>
    <row r="407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</row>
    <row r="408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</row>
    <row r="409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</row>
    <row r="410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</row>
    <row r="41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</row>
    <row r="412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</row>
    <row r="413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</row>
    <row r="414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</row>
    <row r="41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</row>
    <row r="416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</row>
    <row r="417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</row>
    <row r="418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</row>
    <row r="419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</row>
    <row r="420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</row>
    <row r="42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</row>
    <row r="422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</row>
    <row r="423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</row>
    <row r="424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</row>
    <row r="42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</row>
    <row r="426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</row>
    <row r="427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</row>
    <row r="428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</row>
    <row r="429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</row>
    <row r="430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</row>
    <row r="43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</row>
    <row r="432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</row>
    <row r="433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</row>
    <row r="434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</row>
    <row r="43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</row>
    <row r="436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</row>
    <row r="437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</row>
    <row r="438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</row>
    <row r="439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</row>
    <row r="440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</row>
    <row r="44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</row>
    <row r="442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</row>
    <row r="443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</row>
    <row r="444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</row>
    <row r="4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</row>
    <row r="446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</row>
    <row r="447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</row>
    <row r="448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</row>
    <row r="449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</row>
    <row r="450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</row>
    <row r="45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</row>
    <row r="452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</row>
    <row r="453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</row>
    <row r="454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</row>
    <row r="45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</row>
    <row r="456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</row>
    <row r="457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</row>
    <row r="458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</row>
    <row r="459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</row>
    <row r="460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</row>
    <row r="46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</row>
    <row r="462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</row>
    <row r="463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</row>
    <row r="464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</row>
    <row r="46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</row>
    <row r="466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</row>
    <row r="467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</row>
    <row r="468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</row>
    <row r="469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</row>
    <row r="470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</row>
    <row r="47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</row>
    <row r="472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</row>
    <row r="473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</row>
    <row r="474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</row>
    <row r="4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</row>
    <row r="476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</row>
    <row r="477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</row>
    <row r="478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</row>
    <row r="479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</row>
    <row r="480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</row>
    <row r="48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</row>
    <row r="482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</row>
    <row r="483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</row>
    <row r="484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</row>
    <row r="48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</row>
    <row r="486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</row>
    <row r="487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</row>
    <row r="488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</row>
    <row r="489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</row>
    <row r="490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</row>
    <row r="49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</row>
    <row r="492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</row>
    <row r="493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</row>
    <row r="494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</row>
    <row r="49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</row>
    <row r="496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</row>
    <row r="497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</row>
    <row r="498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</row>
    <row r="499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</row>
    <row r="500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</row>
    <row r="50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</row>
    <row r="502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</row>
    <row r="503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</row>
    <row r="504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</row>
    <row r="50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</row>
    <row r="506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</row>
    <row r="507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</row>
    <row r="508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</row>
    <row r="509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</row>
    <row r="510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</row>
    <row r="51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</row>
    <row r="1001">
      <c r="A1001" s="82"/>
      <c r="B1001" s="82"/>
      <c r="C1001" s="82"/>
      <c r="D1001" s="82"/>
      <c r="E1001" s="82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</row>
  </sheetData>
  <mergeCells count="6">
    <mergeCell ref="D2:D13"/>
    <mergeCell ref="D14:D25"/>
    <mergeCell ref="D26:D37"/>
    <mergeCell ref="D38:D49"/>
    <mergeCell ref="D52:H52"/>
    <mergeCell ref="A172:B17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63" t="s">
        <v>30</v>
      </c>
      <c r="C1" s="164"/>
      <c r="D1" s="164"/>
      <c r="E1" s="164"/>
      <c r="F1" s="164"/>
      <c r="G1" s="164"/>
      <c r="H1" s="164"/>
      <c r="I1" s="164"/>
      <c r="J1" s="164"/>
    </row>
    <row r="2" ht="14.25" customHeight="1">
      <c r="A2" s="164"/>
      <c r="B2" s="164"/>
      <c r="C2" s="164"/>
      <c r="D2" s="164"/>
      <c r="E2" s="164"/>
      <c r="F2" s="164"/>
      <c r="G2" s="164"/>
      <c r="H2" s="164"/>
      <c r="I2" s="164"/>
      <c r="J2" s="164"/>
    </row>
    <row r="3" ht="14.25" customHeight="1">
      <c r="A3" s="165" t="s">
        <v>31</v>
      </c>
      <c r="B3" s="35"/>
      <c r="C3" s="164"/>
      <c r="D3" s="164"/>
      <c r="E3" s="164"/>
      <c r="F3" s="164"/>
      <c r="G3" s="164"/>
      <c r="H3" s="164"/>
      <c r="I3" s="164"/>
      <c r="J3" s="164"/>
    </row>
    <row r="4" ht="14.25" customHeight="1">
      <c r="A4" s="163" t="s">
        <v>32</v>
      </c>
      <c r="B4" s="166">
        <v>0.28276</v>
      </c>
      <c r="C4" s="164"/>
      <c r="D4" s="164"/>
      <c r="E4" s="164"/>
      <c r="F4" s="164"/>
      <c r="G4" s="164"/>
      <c r="H4" s="164"/>
      <c r="I4" s="164"/>
      <c r="J4" s="164"/>
    </row>
    <row r="5" ht="14.25" customHeight="1">
      <c r="A5" s="163" t="s">
        <v>33</v>
      </c>
      <c r="B5" s="166">
        <v>0.079953</v>
      </c>
      <c r="C5" s="164"/>
      <c r="D5" s="164"/>
      <c r="E5" s="164"/>
      <c r="F5" s="164"/>
      <c r="G5" s="164"/>
      <c r="H5" s="164"/>
      <c r="I5" s="164"/>
      <c r="J5" s="164"/>
    </row>
    <row r="6" ht="14.25" customHeight="1">
      <c r="A6" s="163" t="s">
        <v>34</v>
      </c>
      <c r="B6" s="166">
        <v>0.059952</v>
      </c>
      <c r="C6" s="164"/>
      <c r="D6" s="164"/>
      <c r="E6" s="164"/>
      <c r="F6" s="164"/>
      <c r="G6" s="164"/>
      <c r="H6" s="164"/>
      <c r="I6" s="164"/>
      <c r="J6" s="164"/>
    </row>
    <row r="7" ht="14.25" customHeight="1">
      <c r="A7" s="163" t="s">
        <v>35</v>
      </c>
      <c r="B7" s="166">
        <v>58.38048</v>
      </c>
      <c r="C7" s="164"/>
      <c r="D7" s="164"/>
      <c r="E7" s="164"/>
      <c r="F7" s="164"/>
      <c r="G7" s="164"/>
      <c r="H7" s="164"/>
      <c r="I7" s="164"/>
      <c r="J7" s="164"/>
    </row>
    <row r="8" ht="14.25" customHeight="1">
      <c r="A8" s="167" t="s">
        <v>36</v>
      </c>
      <c r="B8" s="168">
        <v>48.0</v>
      </c>
      <c r="C8" s="164"/>
      <c r="D8" s="164"/>
      <c r="E8" s="164"/>
      <c r="F8" s="164"/>
      <c r="G8" s="164"/>
      <c r="H8" s="164"/>
      <c r="I8" s="164"/>
      <c r="J8" s="164"/>
    </row>
    <row r="9" ht="14.25" customHeight="1">
      <c r="A9" s="164"/>
      <c r="B9" s="164"/>
      <c r="C9" s="164"/>
      <c r="D9" s="164"/>
      <c r="E9" s="164"/>
      <c r="F9" s="164"/>
      <c r="G9" s="164"/>
      <c r="H9" s="164"/>
      <c r="I9" s="164"/>
      <c r="J9" s="164"/>
    </row>
    <row r="10" ht="14.25" customHeight="1">
      <c r="A10" s="163" t="s">
        <v>37</v>
      </c>
      <c r="B10" s="164"/>
      <c r="C10" s="164"/>
      <c r="D10" s="164"/>
      <c r="E10" s="164"/>
      <c r="F10" s="164"/>
      <c r="G10" s="164"/>
      <c r="H10" s="164"/>
      <c r="I10" s="164"/>
      <c r="J10" s="164"/>
    </row>
    <row r="11" ht="14.25" customHeight="1">
      <c r="A11" s="169"/>
      <c r="B11" s="165" t="s">
        <v>38</v>
      </c>
      <c r="C11" s="165" t="s">
        <v>39</v>
      </c>
      <c r="D11" s="165" t="s">
        <v>40</v>
      </c>
      <c r="E11" s="165" t="s">
        <v>41</v>
      </c>
      <c r="F11" s="165" t="s">
        <v>42</v>
      </c>
      <c r="G11" s="164"/>
      <c r="H11" s="164"/>
      <c r="I11" s="164"/>
      <c r="J11" s="164"/>
    </row>
    <row r="12" ht="14.25" customHeight="1">
      <c r="A12" s="163" t="s">
        <v>43</v>
      </c>
      <c r="B12" s="166">
        <v>1.0</v>
      </c>
      <c r="C12" s="166">
        <v>13624.46</v>
      </c>
      <c r="D12" s="166">
        <v>13624.46</v>
      </c>
      <c r="E12" s="166">
        <v>3.997459</v>
      </c>
      <c r="F12" s="166">
        <v>0.051496</v>
      </c>
      <c r="G12" s="164"/>
      <c r="H12" s="164"/>
      <c r="I12" s="164"/>
      <c r="J12" s="164"/>
    </row>
    <row r="13" ht="14.25" customHeight="1">
      <c r="A13" s="163" t="s">
        <v>44</v>
      </c>
      <c r="B13" s="166">
        <v>46.0</v>
      </c>
      <c r="C13" s="166">
        <v>156780.9</v>
      </c>
      <c r="D13" s="166">
        <v>3408.281</v>
      </c>
      <c r="E13" s="170"/>
      <c r="F13" s="170"/>
      <c r="G13" s="164"/>
      <c r="H13" s="164"/>
      <c r="I13" s="164"/>
      <c r="J13" s="164"/>
    </row>
    <row r="14" ht="14.25" customHeight="1">
      <c r="A14" s="167" t="s">
        <v>14</v>
      </c>
      <c r="B14" s="168">
        <v>47.0</v>
      </c>
      <c r="C14" s="168">
        <v>170405.4</v>
      </c>
      <c r="D14" s="171"/>
      <c r="E14" s="171"/>
      <c r="F14" s="171"/>
      <c r="G14" s="164"/>
      <c r="H14" s="164"/>
      <c r="I14" s="164"/>
      <c r="J14" s="164"/>
    </row>
    <row r="15" ht="14.25" customHeight="1">
      <c r="A15" s="164"/>
      <c r="B15" s="164"/>
      <c r="C15" s="164"/>
      <c r="D15" s="164"/>
      <c r="E15" s="164"/>
      <c r="F15" s="164"/>
      <c r="G15" s="164"/>
      <c r="H15" s="164"/>
      <c r="I15" s="164"/>
      <c r="J15" s="164"/>
    </row>
    <row r="16" ht="14.25" customHeight="1">
      <c r="A16" s="169"/>
      <c r="B16" s="165" t="s">
        <v>17</v>
      </c>
      <c r="C16" s="165" t="s">
        <v>35</v>
      </c>
      <c r="D16" s="165" t="s">
        <v>45</v>
      </c>
      <c r="E16" s="165" t="s">
        <v>46</v>
      </c>
      <c r="F16" s="165" t="s">
        <v>47</v>
      </c>
      <c r="G16" s="165" t="s">
        <v>48</v>
      </c>
      <c r="H16" s="165" t="s">
        <v>49</v>
      </c>
      <c r="I16" s="165" t="s">
        <v>50</v>
      </c>
      <c r="J16" s="164"/>
    </row>
    <row r="17" ht="14.25" customHeight="1">
      <c r="A17" s="163" t="s">
        <v>51</v>
      </c>
      <c r="B17" s="166">
        <v>614.6005</v>
      </c>
      <c r="C17" s="166">
        <v>17.11981</v>
      </c>
      <c r="D17" s="166">
        <v>35.89995</v>
      </c>
      <c r="E17" s="172">
        <v>2.72E-35</v>
      </c>
      <c r="F17" s="166">
        <v>580.1401</v>
      </c>
      <c r="G17" s="166">
        <v>649.0609</v>
      </c>
      <c r="H17" s="166">
        <v>580.1401</v>
      </c>
      <c r="I17" s="166">
        <v>649.0609</v>
      </c>
      <c r="J17" s="164"/>
    </row>
    <row r="18" ht="14.25" customHeight="1">
      <c r="A18" s="167" t="s">
        <v>52</v>
      </c>
      <c r="B18" s="168">
        <v>1.216138</v>
      </c>
      <c r="C18" s="168">
        <v>0.608262</v>
      </c>
      <c r="D18" s="168">
        <v>1.999365</v>
      </c>
      <c r="E18" s="168">
        <v>0.051496</v>
      </c>
      <c r="F18" s="168">
        <v>-0.00823</v>
      </c>
      <c r="G18" s="168">
        <v>2.440506</v>
      </c>
      <c r="H18" s="168">
        <v>-0.00823</v>
      </c>
      <c r="I18" s="168">
        <v>2.440506</v>
      </c>
      <c r="J18" s="164"/>
    </row>
    <row r="19" ht="14.25" customHeight="1">
      <c r="A19" s="164"/>
      <c r="B19" s="164"/>
      <c r="C19" s="164"/>
      <c r="D19" s="164"/>
      <c r="E19" s="164"/>
      <c r="F19" s="164"/>
      <c r="G19" s="164"/>
      <c r="H19" s="164"/>
      <c r="I19" s="164"/>
      <c r="J19" s="164"/>
    </row>
    <row r="20" ht="14.25" customHeight="1">
      <c r="A20" s="164"/>
      <c r="B20" s="164"/>
      <c r="C20" s="164"/>
      <c r="D20" s="164"/>
      <c r="E20" s="164"/>
      <c r="F20" s="164"/>
      <c r="G20" s="164"/>
      <c r="H20" s="164"/>
      <c r="I20" s="164"/>
      <c r="J20" s="164"/>
    </row>
    <row r="21" ht="14.25" customHeight="1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ht="14.25" customHeight="1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B1"/>
    <mergeCell ref="A3:B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2024-04-16T06:06:31Z</dcterms:created>
  <dc:creator>Katrina Poh</dc:creator>
</cp:coreProperties>
</file>