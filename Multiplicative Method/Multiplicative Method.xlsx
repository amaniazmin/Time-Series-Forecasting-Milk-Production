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Milk Production" sheetId="2" r:id="rId6"/>
    <sheet state="visible" name="AAPL" sheetId="3" r:id="rId7"/>
    <sheet state="visible" name="Summary" sheetId="4" r:id="rId8"/>
  </sheets>
  <definedNames>
    <definedName name="_xlchart.v1.1">AAPL!$J$253:$J$261</definedName>
    <definedName name="_xlchart.v1.2">AAPL!$J$1</definedName>
    <definedName name="_xlchart.v1.3">AAPL!$Q$2:$Q$261</definedName>
    <definedName name="_xlchart.v1.0">AAPL!$C$1</definedName>
  </definedNames>
  <calcPr/>
</workbook>
</file>

<file path=xl/sharedStrings.xml><?xml version="1.0" encoding="utf-8"?>
<sst xmlns="http://schemas.openxmlformats.org/spreadsheetml/2006/main" count="94" uniqueCount="56">
  <si>
    <t>Year</t>
  </si>
  <si>
    <t>Month</t>
  </si>
  <si>
    <t>Date</t>
  </si>
  <si>
    <t>Open</t>
  </si>
  <si>
    <t>High</t>
  </si>
  <si>
    <t>Low</t>
  </si>
  <si>
    <t>Close</t>
  </si>
  <si>
    <t>Adj Close</t>
  </si>
  <si>
    <t>Volume</t>
  </si>
  <si>
    <t>Avg Adj Close, yt</t>
  </si>
  <si>
    <t>t</t>
  </si>
  <si>
    <t>MA</t>
  </si>
  <si>
    <t>CMA</t>
  </si>
  <si>
    <t>SN x IR</t>
  </si>
  <si>
    <t xml:space="preserve">SNt </t>
  </si>
  <si>
    <t>Dt</t>
  </si>
  <si>
    <t>TRt</t>
  </si>
  <si>
    <t>TRt * SNt</t>
  </si>
  <si>
    <t>CLt * Irt</t>
  </si>
  <si>
    <t>CLt</t>
  </si>
  <si>
    <t>Irt</t>
  </si>
  <si>
    <t>Error</t>
  </si>
  <si>
    <t>Error^2</t>
  </si>
  <si>
    <t>Total</t>
  </si>
  <si>
    <t>Adj Close,yt</t>
  </si>
  <si>
    <t>Unadjusted Seasonal</t>
  </si>
  <si>
    <t>Adjusted Seasonal</t>
  </si>
  <si>
    <t>Coefficients</t>
  </si>
  <si>
    <t>Intercept</t>
  </si>
  <si>
    <t>X Variable 1</t>
  </si>
  <si>
    <t>MSE</t>
  </si>
  <si>
    <t>Mean</t>
  </si>
  <si>
    <t>Monthly milk production: pounds per cow</t>
  </si>
  <si>
    <t>Monthly milk production: pounds per cow. Jan 62 ? Dec 75</t>
  </si>
  <si>
    <t>Day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</si>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</sst>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12">
    <font>
      <sz val="11.0"/>
      <color theme="1"/>
      <name val="Aptos narrow"/>
      <scheme val="minor"/>
    </font>
    <font>
      <color rgb="FFFFFFFF"/>
      <name val="Arial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/>
    <font>
      <sz val="11.0"/>
      <color theme="1"/>
      <name val="Calibri"/>
    </font>
    <font>
      <sz val="11.0"/>
      <color theme="1"/>
      <name val="&quot;aptos narrow&quot;"/>
    </font>
    <font>
      <i/>
      <sz val="11.0"/>
      <color theme="1"/>
      <name val="Calibri"/>
    </font>
    <font>
      <sz val="11.0"/>
      <color rgb="FF000000"/>
      <name val="Calibri"/>
    </font>
    <font>
      <i/>
      <sz val="11.0"/>
      <color theme="1"/>
      <name val="Aptos narrow"/>
    </font>
  </fonts>
  <fills count="1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C1E4F5"/>
        <bgColor rgb="FFC1E4F5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2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vertical="center"/>
    </xf>
    <xf borderId="1" fillId="5" fontId="3" numFmtId="14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6" fontId="5" numFmtId="0" xfId="0" applyAlignment="1" applyBorder="1" applyFill="1" applyFont="1">
      <alignment horizontal="center" readingOrder="0" vertical="center"/>
    </xf>
    <xf borderId="1" fillId="6" fontId="3" numFmtId="14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/>
    </xf>
    <xf borderId="5" fillId="0" fontId="7" numFmtId="0" xfId="0" applyAlignment="1" applyBorder="1" applyFont="1">
      <alignment vertical="bottom"/>
    </xf>
    <xf borderId="5" fillId="0" fontId="7" numFmtId="0" xfId="0" applyBorder="1" applyFont="1"/>
    <xf borderId="0" fillId="0" fontId="7" numFmtId="0" xfId="0" applyAlignment="1" applyFont="1">
      <alignment vertical="bottom"/>
    </xf>
    <xf borderId="0" fillId="0" fontId="7" numFmtId="0" xfId="0" applyFont="1"/>
    <xf borderId="4" fillId="4" fontId="8" numFmtId="0" xfId="0" applyAlignment="1" applyBorder="1" applyFont="1">
      <alignment horizontal="center" shrinkToFit="0" wrapText="1"/>
    </xf>
    <xf borderId="6" fillId="4" fontId="8" numFmtId="0" xfId="0" applyAlignment="1" applyBorder="1" applyFont="1">
      <alignment horizontal="center" shrinkToFit="0" wrapText="1"/>
    </xf>
    <xf borderId="4" fillId="3" fontId="7" numFmtId="0" xfId="0" applyAlignment="1" applyBorder="1" applyFont="1">
      <alignment horizontal="center"/>
    </xf>
    <xf borderId="6" fillId="3" fontId="7" numFmtId="0" xfId="0" applyAlignment="1" applyBorder="1" applyFont="1">
      <alignment horizontal="center"/>
    </xf>
    <xf borderId="5" fillId="3" fontId="7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6" fillId="0" fontId="7" numFmtId="0" xfId="0" applyBorder="1" applyFont="1"/>
    <xf borderId="4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7" fillId="0" fontId="7" numFmtId="0" xfId="0" applyAlignment="1" applyBorder="1" applyFont="1">
      <alignment vertical="bottom"/>
    </xf>
    <xf borderId="6" fillId="0" fontId="9" numFmtId="0" xfId="0" applyAlignment="1" applyBorder="1" applyFont="1">
      <alignment horizontal="center"/>
    </xf>
    <xf borderId="0" fillId="7" fontId="5" numFmtId="0" xfId="0" applyAlignment="1" applyFill="1" applyFont="1">
      <alignment horizontal="center"/>
    </xf>
    <xf borderId="0" fillId="7" fontId="8" numFmtId="0" xfId="0" applyAlignment="1" applyFont="1">
      <alignment horizontal="center"/>
    </xf>
    <xf borderId="1" fillId="8" fontId="5" numFmtId="0" xfId="0" applyAlignment="1" applyBorder="1" applyFill="1" applyFont="1">
      <alignment horizontal="center" readingOrder="0" vertical="center"/>
    </xf>
    <xf borderId="1" fillId="8" fontId="3" numFmtId="14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9" fontId="5" numFmtId="0" xfId="0" applyAlignment="1" applyBorder="1" applyFill="1" applyFont="1">
      <alignment horizontal="center" readingOrder="0" vertical="center"/>
    </xf>
    <xf borderId="1" fillId="9" fontId="3" numFmtId="14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9" fontId="3" numFmtId="0" xfId="0" applyAlignment="1" applyBorder="1" applyFont="1">
      <alignment horizontal="center" vertical="center"/>
    </xf>
    <xf borderId="1" fillId="10" fontId="5" numFmtId="0" xfId="0" applyAlignment="1" applyBorder="1" applyFill="1" applyFont="1">
      <alignment horizontal="center" readingOrder="0" vertical="center"/>
    </xf>
    <xf borderId="1" fillId="10" fontId="3" numFmtId="14" xfId="0" applyAlignment="1" applyBorder="1" applyFont="1" applyNumberFormat="1">
      <alignment horizontal="center" vertical="center"/>
    </xf>
    <xf borderId="1" fillId="10" fontId="2" numFmtId="0" xfId="0" applyAlignment="1" applyBorder="1" applyFont="1">
      <alignment horizontal="center" vertical="center"/>
    </xf>
    <xf borderId="1" fillId="10" fontId="3" numFmtId="0" xfId="0" applyAlignment="1" applyBorder="1" applyFont="1">
      <alignment horizontal="center" vertical="center"/>
    </xf>
    <xf borderId="1" fillId="11" fontId="5" numFmtId="0" xfId="0" applyAlignment="1" applyBorder="1" applyFill="1" applyFont="1">
      <alignment horizontal="center" readingOrder="0" vertical="center"/>
    </xf>
    <xf borderId="1" fillId="11" fontId="3" numFmtId="14" xfId="0" applyAlignment="1" applyBorder="1" applyFont="1" applyNumberFormat="1">
      <alignment horizontal="center" vertical="center"/>
    </xf>
    <xf borderId="1" fillId="11" fontId="2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1" fillId="12" fontId="5" numFmtId="0" xfId="0" applyAlignment="1" applyBorder="1" applyFill="1" applyFont="1">
      <alignment horizontal="center" readingOrder="0" vertical="center"/>
    </xf>
    <xf borderId="1" fillId="12" fontId="3" numFmtId="14" xfId="0" applyAlignment="1" applyBorder="1" applyFont="1" applyNumberFormat="1">
      <alignment horizontal="center" vertical="center"/>
    </xf>
    <xf borderId="1" fillId="12" fontId="2" numFmtId="0" xfId="0" applyAlignment="1" applyBorder="1" applyFont="1">
      <alignment horizontal="center" vertical="center"/>
    </xf>
    <xf borderId="1" fillId="12" fontId="3" numFmtId="0" xfId="0" applyAlignment="1" applyBorder="1" applyFont="1">
      <alignment horizontal="center" vertical="center"/>
    </xf>
    <xf borderId="1" fillId="13" fontId="5" numFmtId="0" xfId="0" applyAlignment="1" applyBorder="1" applyFill="1" applyFont="1">
      <alignment horizontal="center" readingOrder="0" vertical="center"/>
    </xf>
    <xf borderId="1" fillId="13" fontId="3" numFmtId="14" xfId="0" applyAlignment="1" applyBorder="1" applyFont="1" applyNumberFormat="1">
      <alignment horizontal="center" vertical="center"/>
    </xf>
    <xf borderId="1" fillId="13" fontId="2" numFmtId="0" xfId="0" applyAlignment="1" applyBorder="1" applyFont="1">
      <alignment horizontal="center" vertical="center"/>
    </xf>
    <xf borderId="1" fillId="13" fontId="3" numFmtId="0" xfId="0" applyAlignment="1" applyBorder="1" applyFont="1">
      <alignment horizontal="center" vertical="center"/>
    </xf>
    <xf borderId="1" fillId="14" fontId="5" numFmtId="0" xfId="0" applyAlignment="1" applyBorder="1" applyFill="1" applyFont="1">
      <alignment horizontal="center" readingOrder="0" vertical="center"/>
    </xf>
    <xf borderId="1" fillId="14" fontId="3" numFmtId="14" xfId="0" applyAlignment="1" applyBorder="1" applyFont="1" applyNumberFormat="1">
      <alignment horizontal="center" vertical="center"/>
    </xf>
    <xf borderId="1" fillId="14" fontId="2" numFmtId="0" xfId="0" applyAlignment="1" applyBorder="1" applyFont="1">
      <alignment horizontal="center" vertical="center"/>
    </xf>
    <xf borderId="1" fillId="14" fontId="3" numFmtId="0" xfId="0" applyAlignment="1" applyBorder="1" applyFont="1">
      <alignment horizontal="center" vertical="center"/>
    </xf>
    <xf borderId="1" fillId="15" fontId="5" numFmtId="0" xfId="0" applyAlignment="1" applyBorder="1" applyFill="1" applyFont="1">
      <alignment horizontal="center" readingOrder="0" vertical="center"/>
    </xf>
    <xf borderId="1" fillId="15" fontId="3" numFmtId="14" xfId="0" applyAlignment="1" applyBorder="1" applyFont="1" applyNumberFormat="1">
      <alignment horizontal="center" vertical="center"/>
    </xf>
    <xf borderId="1" fillId="15" fontId="2" numFmtId="0" xfId="0" applyAlignment="1" applyBorder="1" applyFont="1">
      <alignment horizontal="center" vertical="center"/>
    </xf>
    <xf borderId="1" fillId="15" fontId="3" numFmtId="0" xfId="0" applyAlignment="1" applyBorder="1" applyFont="1">
      <alignment horizontal="center" vertical="center"/>
    </xf>
    <xf borderId="1" fillId="16" fontId="5" numFmtId="0" xfId="0" applyAlignment="1" applyBorder="1" applyFill="1" applyFont="1">
      <alignment horizontal="center" readingOrder="0" vertical="center"/>
    </xf>
    <xf borderId="1" fillId="16" fontId="3" numFmtId="14" xfId="0" applyAlignment="1" applyBorder="1" applyFont="1" applyNumberFormat="1">
      <alignment horizontal="center" vertical="center"/>
    </xf>
    <xf borderId="1" fillId="16" fontId="2" numFmtId="0" xfId="0" applyAlignment="1" applyBorder="1" applyFont="1">
      <alignment horizontal="center" vertical="center"/>
    </xf>
    <xf borderId="1" fillId="16" fontId="3" numFmtId="0" xfId="0" applyAlignment="1" applyBorder="1" applyFont="1">
      <alignment horizontal="center" vertical="center"/>
    </xf>
    <xf borderId="1" fillId="17" fontId="5" numFmtId="0" xfId="0" applyAlignment="1" applyBorder="1" applyFill="1" applyFont="1">
      <alignment horizontal="center" readingOrder="0" vertical="center"/>
    </xf>
    <xf borderId="1" fillId="17" fontId="3" numFmtId="14" xfId="0" applyAlignment="1" applyBorder="1" applyFont="1" applyNumberFormat="1">
      <alignment horizontal="center" vertical="center"/>
    </xf>
    <xf borderId="1" fillId="17" fontId="2" numFmtId="0" xfId="0" applyAlignment="1" applyBorder="1" applyFont="1">
      <alignment horizontal="center" vertical="center"/>
    </xf>
    <xf borderId="1" fillId="17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3" numFmtId="1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0" numFmtId="0" xfId="0" applyAlignment="1" applyFont="1">
      <alignment readingOrder="0"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165" xfId="0" applyAlignment="1" applyFont="1" applyNumberForma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8" fillId="0" fontId="11" numFmtId="0" xfId="0" applyAlignment="1" applyBorder="1" applyFont="1">
      <alignment horizontal="center"/>
    </xf>
    <xf borderId="0" fillId="0" fontId="2" numFmtId="0" xfId="0" applyFont="1"/>
    <xf borderId="9" fillId="0" fontId="3" numFmtId="0" xfId="0" applyBorder="1" applyFont="1"/>
    <xf borderId="10" fillId="18" fontId="3" numFmtId="0" xfId="0" applyBorder="1" applyFill="1" applyFont="1"/>
    <xf borderId="8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 yt vs dt</a:t>
            </a:r>
          </a:p>
        </c:rich>
      </c:tx>
      <c:overlay val="0"/>
    </c:title>
    <c:plotArea>
      <c:layout/>
      <c:lineChart>
        <c:ser>
          <c:idx val="0"/>
          <c:order val="0"/>
          <c:tx>
            <c:v>Adj Close,yt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AAPL!$C$2:$C$252</c:f>
              <c:numCache/>
            </c:numRef>
          </c:val>
          <c:smooth val="0"/>
        </c:ser>
        <c:ser>
          <c:idx val="1"/>
          <c:order val="1"/>
          <c:tx>
            <c:v>Dt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AAPL!$H$2:$H$252</c:f>
              <c:numCache/>
            </c:numRef>
          </c:val>
          <c:smooth val="0"/>
        </c:ser>
        <c:axId val="194597632"/>
        <c:axId val="677283645"/>
      </c:lineChart>
      <c:catAx>
        <c:axId val="19459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7283645"/>
      </c:catAx>
      <c:valAx>
        <c:axId val="677283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59763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CLt vs IRt</a:t>
            </a:r>
          </a:p>
        </c:rich>
      </c:tx>
      <c:overlay val="0"/>
    </c:title>
    <c:plotArea>
      <c:layout/>
      <c:lineChart>
        <c:ser>
          <c:idx val="0"/>
          <c:order val="0"/>
          <c:tx>
            <c:v>CLt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AAPL!$L$2:$L$21</c:f>
              <c:numCache/>
            </c:numRef>
          </c:val>
          <c:smooth val="0"/>
        </c:ser>
        <c:ser>
          <c:idx val="1"/>
          <c:order val="1"/>
          <c:tx>
            <c:v>Irt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AAPL!$M$2:$M$21</c:f>
              <c:numCache/>
            </c:numRef>
          </c:val>
          <c:smooth val="0"/>
        </c:ser>
        <c:axId val="1075969046"/>
        <c:axId val="308473183"/>
      </c:lineChart>
      <c:catAx>
        <c:axId val="1075969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8473183"/>
      </c:catAx>
      <c:valAx>
        <c:axId val="308473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596904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635870516185476"/>
          <c:y val="0.30076443569553807"/>
          <c:w val="0.890307961504812"/>
          <c:h val="0.6028780256634587"/>
        </c:manualLayout>
      </c:layout>
      <c:lineChart>
        <c:ser>
          <c:idx val="0"/>
          <c:order val="0"/>
          <c:tx>
            <c:v>Adj Close,yt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AAPL!$J$2:$J$261</c:f>
              <c:numCache/>
            </c:numRef>
          </c:val>
          <c:smooth val="0"/>
        </c:ser>
        <c:axId val="601516710"/>
        <c:axId val="1132384904"/>
      </c:lineChart>
      <c:catAx>
        <c:axId val="601516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2384904"/>
      </c:catAx>
      <c:valAx>
        <c:axId val="1132384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151671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</xdr:colOff>
      <xdr:row>253</xdr:row>
      <xdr:rowOff>276225</xdr:rowOff>
    </xdr:from>
    <xdr:ext cx="4905375" cy="27146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333375</xdr:colOff>
      <xdr:row>253</xdr:row>
      <xdr:rowOff>209550</xdr:rowOff>
    </xdr:from>
    <xdr:ext cx="4953000" cy="27146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142875</xdr:colOff>
      <xdr:row>269</xdr:row>
      <xdr:rowOff>171450</xdr:rowOff>
    </xdr:from>
    <xdr:ext cx="4905375" cy="27146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3" max="13" width="16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5" t="s">
        <v>0</v>
      </c>
      <c r="L1" s="5" t="s">
        <v>1</v>
      </c>
      <c r="M1" s="5" t="s">
        <v>9</v>
      </c>
      <c r="N1" s="6" t="s">
        <v>10</v>
      </c>
      <c r="O1" s="6" t="s">
        <v>11</v>
      </c>
      <c r="P1" s="6" t="s">
        <v>12</v>
      </c>
      <c r="Q1" s="7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4"/>
    </row>
    <row r="2">
      <c r="A2" s="8">
        <v>2018.0</v>
      </c>
      <c r="B2" s="9">
        <v>8.0</v>
      </c>
      <c r="C2" s="10">
        <v>43327.0</v>
      </c>
      <c r="D2" s="11">
        <v>209.220001</v>
      </c>
      <c r="E2" s="11">
        <v>210.740005</v>
      </c>
      <c r="F2" s="11">
        <v>208.330002</v>
      </c>
      <c r="G2" s="11">
        <v>210.240005</v>
      </c>
      <c r="H2" s="11">
        <v>207.02742</v>
      </c>
      <c r="I2" s="12">
        <v>2.88076E7</v>
      </c>
      <c r="J2" s="4"/>
      <c r="K2" s="13">
        <v>2018.0</v>
      </c>
      <c r="L2" s="14">
        <v>8.0</v>
      </c>
      <c r="M2" s="15">
        <f>AVERAGE(H2:H14)</f>
        <v>214.4885418</v>
      </c>
      <c r="N2" s="14">
        <v>1.0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4"/>
    </row>
    <row r="3">
      <c r="A3" s="16"/>
      <c r="B3" s="9">
        <v>8.0</v>
      </c>
      <c r="C3" s="10">
        <v>43328.0</v>
      </c>
      <c r="D3" s="11">
        <v>211.75</v>
      </c>
      <c r="E3" s="11">
        <v>213.809998</v>
      </c>
      <c r="F3" s="11">
        <v>211.470001</v>
      </c>
      <c r="G3" s="11">
        <v>213.320007</v>
      </c>
      <c r="H3" s="11">
        <v>210.060333</v>
      </c>
      <c r="I3" s="12">
        <v>2.85004E7</v>
      </c>
      <c r="J3" s="4"/>
      <c r="K3" s="16"/>
      <c r="L3" s="14">
        <v>9.0</v>
      </c>
      <c r="M3" s="15">
        <f>average(H15:H33)</f>
        <v>218.6802577</v>
      </c>
      <c r="N3" s="14">
        <v>2.0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4"/>
    </row>
    <row r="4">
      <c r="A4" s="16"/>
      <c r="B4" s="9">
        <v>8.0</v>
      </c>
      <c r="C4" s="10">
        <v>43329.0</v>
      </c>
      <c r="D4" s="11">
        <v>213.440002</v>
      </c>
      <c r="E4" s="11">
        <v>217.949997</v>
      </c>
      <c r="F4" s="11">
        <v>213.160004</v>
      </c>
      <c r="G4" s="11">
        <v>217.580002</v>
      </c>
      <c r="H4" s="11">
        <v>214.255234</v>
      </c>
      <c r="I4" s="12">
        <v>3.5427E7</v>
      </c>
      <c r="J4" s="4"/>
      <c r="K4" s="16"/>
      <c r="L4" s="14">
        <v>10.0</v>
      </c>
      <c r="M4" s="15">
        <f>average(H34:H56)</f>
        <v>217.4709951</v>
      </c>
      <c r="N4" s="14">
        <v>3.0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4"/>
    </row>
    <row r="5">
      <c r="A5" s="16"/>
      <c r="B5" s="9">
        <v>8.0</v>
      </c>
      <c r="C5" s="10">
        <v>43332.0</v>
      </c>
      <c r="D5" s="11">
        <v>218.100006</v>
      </c>
      <c r="E5" s="11">
        <v>219.179993</v>
      </c>
      <c r="F5" s="11">
        <v>215.110001</v>
      </c>
      <c r="G5" s="11">
        <v>215.460007</v>
      </c>
      <c r="H5" s="11">
        <v>212.167633</v>
      </c>
      <c r="I5" s="12">
        <v>3.02877E7</v>
      </c>
      <c r="J5" s="4"/>
      <c r="K5" s="16"/>
      <c r="L5" s="14">
        <v>11.0</v>
      </c>
      <c r="M5" s="15">
        <f>average(H57:H77)</f>
        <v>188.7995933</v>
      </c>
      <c r="N5" s="14">
        <v>4.0</v>
      </c>
      <c r="O5" s="15">
        <f t="shared" ref="O5:O14" si="1">AVERAGE(M2:M4)</f>
        <v>216.8799315</v>
      </c>
      <c r="P5" s="15">
        <f t="shared" ref="P5:P13" si="2">AVERAGE(O5:O6)</f>
        <v>212.5984401</v>
      </c>
      <c r="Q5" s="15">
        <f t="shared" ref="Q5:Q13" si="3">M5/P5</f>
        <v>0.8880572839</v>
      </c>
      <c r="R5" s="15"/>
      <c r="S5" s="15"/>
      <c r="T5" s="15"/>
      <c r="U5" s="15"/>
      <c r="V5" s="15"/>
      <c r="W5" s="15"/>
      <c r="X5" s="15"/>
      <c r="Y5" s="15"/>
      <c r="Z5" s="15"/>
      <c r="AA5" s="4"/>
    </row>
    <row r="6">
      <c r="A6" s="16"/>
      <c r="B6" s="9">
        <v>8.0</v>
      </c>
      <c r="C6" s="10">
        <v>43333.0</v>
      </c>
      <c r="D6" s="11">
        <v>216.800003</v>
      </c>
      <c r="E6" s="11">
        <v>217.190002</v>
      </c>
      <c r="F6" s="11">
        <v>214.029999</v>
      </c>
      <c r="G6" s="11">
        <v>215.039993</v>
      </c>
      <c r="H6" s="11">
        <v>211.754028</v>
      </c>
      <c r="I6" s="12">
        <v>2.61598E7</v>
      </c>
      <c r="J6" s="4"/>
      <c r="K6" s="17"/>
      <c r="L6" s="14">
        <v>12.0</v>
      </c>
      <c r="M6" s="15">
        <f>average(H78:H96)</f>
        <v>162.3206186</v>
      </c>
      <c r="N6" s="14">
        <v>5.0</v>
      </c>
      <c r="O6" s="15">
        <f t="shared" si="1"/>
        <v>208.3169487</v>
      </c>
      <c r="P6" s="15">
        <f t="shared" si="2"/>
        <v>198.9236755</v>
      </c>
      <c r="Q6" s="15">
        <f t="shared" si="3"/>
        <v>0.8159944671</v>
      </c>
      <c r="R6" s="15"/>
      <c r="S6" s="15"/>
      <c r="T6" s="15"/>
      <c r="U6" s="15"/>
      <c r="V6" s="15"/>
      <c r="W6" s="15"/>
      <c r="X6" s="15"/>
      <c r="Y6" s="15"/>
      <c r="Z6" s="15"/>
      <c r="AA6" s="4"/>
    </row>
    <row r="7">
      <c r="A7" s="16"/>
      <c r="B7" s="9">
        <v>8.0</v>
      </c>
      <c r="C7" s="10">
        <v>43334.0</v>
      </c>
      <c r="D7" s="11">
        <v>214.100006</v>
      </c>
      <c r="E7" s="11">
        <v>216.360001</v>
      </c>
      <c r="F7" s="11">
        <v>213.839996</v>
      </c>
      <c r="G7" s="11">
        <v>215.050003</v>
      </c>
      <c r="H7" s="11">
        <v>211.763901</v>
      </c>
      <c r="I7" s="12">
        <v>1.90181E7</v>
      </c>
      <c r="J7" s="4"/>
      <c r="K7" s="13">
        <v>2019.0</v>
      </c>
      <c r="L7" s="14">
        <v>1.0</v>
      </c>
      <c r="M7" s="15">
        <f>average(H97:H117)</f>
        <v>152.3401262</v>
      </c>
      <c r="N7" s="14">
        <v>6.0</v>
      </c>
      <c r="O7" s="15">
        <f t="shared" si="1"/>
        <v>189.5304023</v>
      </c>
      <c r="P7" s="15">
        <f t="shared" si="2"/>
        <v>178.6752575</v>
      </c>
      <c r="Q7" s="15">
        <f t="shared" si="3"/>
        <v>0.8526089642</v>
      </c>
      <c r="R7" s="15"/>
      <c r="S7" s="15"/>
      <c r="T7" s="15"/>
      <c r="U7" s="15"/>
      <c r="V7" s="15"/>
      <c r="W7" s="15"/>
      <c r="X7" s="15"/>
      <c r="Y7" s="15"/>
      <c r="Z7" s="15"/>
      <c r="AA7" s="4"/>
    </row>
    <row r="8">
      <c r="A8" s="16"/>
      <c r="B8" s="9">
        <v>8.0</v>
      </c>
      <c r="C8" s="10">
        <v>43335.0</v>
      </c>
      <c r="D8" s="11">
        <v>214.649994</v>
      </c>
      <c r="E8" s="11">
        <v>217.050003</v>
      </c>
      <c r="F8" s="11">
        <v>214.600006</v>
      </c>
      <c r="G8" s="11">
        <v>215.490005</v>
      </c>
      <c r="H8" s="11">
        <v>212.197189</v>
      </c>
      <c r="I8" s="12">
        <v>1.88832E7</v>
      </c>
      <c r="J8" s="4"/>
      <c r="K8" s="16"/>
      <c r="L8" s="14">
        <v>2.0</v>
      </c>
      <c r="M8" s="15">
        <f>average(H118:H136)</f>
        <v>170.2304134</v>
      </c>
      <c r="N8" s="14">
        <v>7.0</v>
      </c>
      <c r="O8" s="15">
        <f t="shared" si="1"/>
        <v>167.8201127</v>
      </c>
      <c r="P8" s="15">
        <f t="shared" si="2"/>
        <v>164.7252494</v>
      </c>
      <c r="Q8" s="15">
        <f t="shared" si="3"/>
        <v>1.03342028</v>
      </c>
      <c r="R8" s="15"/>
      <c r="S8" s="15"/>
      <c r="T8" s="15"/>
      <c r="U8" s="15"/>
      <c r="V8" s="15"/>
      <c r="W8" s="15"/>
      <c r="X8" s="15"/>
      <c r="Y8" s="15"/>
      <c r="Z8" s="15"/>
      <c r="AA8" s="4"/>
    </row>
    <row r="9">
      <c r="A9" s="16"/>
      <c r="B9" s="9">
        <v>8.0</v>
      </c>
      <c r="C9" s="10">
        <v>43336.0</v>
      </c>
      <c r="D9" s="11">
        <v>216.600006</v>
      </c>
      <c r="E9" s="11">
        <v>216.899994</v>
      </c>
      <c r="F9" s="11">
        <v>215.110001</v>
      </c>
      <c r="G9" s="11">
        <v>216.160004</v>
      </c>
      <c r="H9" s="11">
        <v>212.856949</v>
      </c>
      <c r="I9" s="12">
        <v>1.84764E7</v>
      </c>
      <c r="J9" s="4"/>
      <c r="K9" s="16"/>
      <c r="L9" s="14">
        <v>3.0</v>
      </c>
      <c r="M9" s="15">
        <f>average(H61:H81)</f>
        <v>182.8030701</v>
      </c>
      <c r="N9" s="14">
        <v>8.0</v>
      </c>
      <c r="O9" s="15">
        <f t="shared" si="1"/>
        <v>161.6303861</v>
      </c>
      <c r="P9" s="15">
        <f t="shared" si="2"/>
        <v>165.044128</v>
      </c>
      <c r="Q9" s="15">
        <f t="shared" si="3"/>
        <v>1.107601175</v>
      </c>
      <c r="R9" s="15"/>
      <c r="S9" s="15"/>
      <c r="T9" s="15"/>
      <c r="U9" s="15"/>
      <c r="V9" s="15"/>
      <c r="W9" s="15"/>
      <c r="X9" s="15"/>
      <c r="Y9" s="15"/>
      <c r="Z9" s="15"/>
      <c r="AA9" s="4"/>
    </row>
    <row r="10">
      <c r="A10" s="16"/>
      <c r="B10" s="9">
        <v>8.0</v>
      </c>
      <c r="C10" s="10">
        <v>43339.0</v>
      </c>
      <c r="D10" s="11">
        <v>217.149994</v>
      </c>
      <c r="E10" s="11">
        <v>218.740005</v>
      </c>
      <c r="F10" s="11">
        <v>216.330002</v>
      </c>
      <c r="G10" s="11">
        <v>217.940002</v>
      </c>
      <c r="H10" s="11">
        <v>214.609741</v>
      </c>
      <c r="I10" s="12">
        <v>2.05251E7</v>
      </c>
      <c r="J10" s="4"/>
      <c r="K10" s="16"/>
      <c r="L10" s="14">
        <v>4.0</v>
      </c>
      <c r="M10" s="15">
        <f>average(H158:H178)</f>
        <v>198.9909109</v>
      </c>
      <c r="N10" s="14">
        <v>9.0</v>
      </c>
      <c r="O10" s="15">
        <f t="shared" si="1"/>
        <v>168.4578699</v>
      </c>
      <c r="P10" s="15">
        <f t="shared" si="2"/>
        <v>176.2330007</v>
      </c>
      <c r="Q10" s="15">
        <f t="shared" si="3"/>
        <v>1.12913535</v>
      </c>
      <c r="R10" s="15"/>
      <c r="S10" s="15"/>
      <c r="T10" s="15"/>
      <c r="U10" s="15"/>
      <c r="V10" s="15"/>
      <c r="W10" s="15"/>
      <c r="X10" s="15"/>
      <c r="Y10" s="15"/>
      <c r="Z10" s="15"/>
      <c r="AA10" s="4"/>
    </row>
    <row r="11">
      <c r="A11" s="16"/>
      <c r="B11" s="9">
        <v>8.0</v>
      </c>
      <c r="C11" s="10">
        <v>43340.0</v>
      </c>
      <c r="D11" s="11">
        <v>219.009995</v>
      </c>
      <c r="E11" s="11">
        <v>220.539993</v>
      </c>
      <c r="F11" s="11">
        <v>218.919998</v>
      </c>
      <c r="G11" s="11">
        <v>219.699997</v>
      </c>
      <c r="H11" s="11">
        <v>216.34285</v>
      </c>
      <c r="I11" s="12">
        <v>2.27768E7</v>
      </c>
      <c r="J11" s="4"/>
      <c r="K11" s="16"/>
      <c r="L11" s="14">
        <v>5.0</v>
      </c>
      <c r="M11" s="15">
        <f>average(H63:H83)</f>
        <v>179.063138</v>
      </c>
      <c r="N11" s="14">
        <v>10.0</v>
      </c>
      <c r="O11" s="15">
        <f t="shared" si="1"/>
        <v>184.0081314</v>
      </c>
      <c r="P11" s="15">
        <f t="shared" si="2"/>
        <v>185.4802522</v>
      </c>
      <c r="Q11" s="15">
        <f t="shared" si="3"/>
        <v>0.965402709</v>
      </c>
      <c r="R11" s="15"/>
      <c r="S11" s="15"/>
      <c r="T11" s="15"/>
      <c r="U11" s="15"/>
      <c r="V11" s="15"/>
      <c r="W11" s="15"/>
      <c r="X11" s="15"/>
      <c r="Y11" s="15"/>
      <c r="Z11" s="15"/>
      <c r="AA11" s="4"/>
    </row>
    <row r="12">
      <c r="A12" s="16"/>
      <c r="B12" s="9">
        <v>8.0</v>
      </c>
      <c r="C12" s="10">
        <v>43341.0</v>
      </c>
      <c r="D12" s="11">
        <v>220.149994</v>
      </c>
      <c r="E12" s="11">
        <v>223.490005</v>
      </c>
      <c r="F12" s="11">
        <v>219.410004</v>
      </c>
      <c r="G12" s="11">
        <v>222.979996</v>
      </c>
      <c r="H12" s="11">
        <v>219.572723</v>
      </c>
      <c r="I12" s="12">
        <v>2.72548E7</v>
      </c>
      <c r="J12" s="4"/>
      <c r="K12" s="16"/>
      <c r="L12" s="14">
        <v>6.0</v>
      </c>
      <c r="M12" s="15">
        <f>average(H201:H220)</f>
        <v>192.2385994</v>
      </c>
      <c r="N12" s="14">
        <v>11.0</v>
      </c>
      <c r="O12" s="15">
        <f t="shared" si="1"/>
        <v>186.952373</v>
      </c>
      <c r="P12" s="15">
        <f t="shared" si="2"/>
        <v>188.5249612</v>
      </c>
      <c r="Q12" s="15">
        <f t="shared" si="3"/>
        <v>1.01969839</v>
      </c>
      <c r="R12" s="15"/>
      <c r="S12" s="15"/>
      <c r="T12" s="15"/>
      <c r="U12" s="15"/>
      <c r="V12" s="15"/>
      <c r="W12" s="15"/>
      <c r="X12" s="15"/>
      <c r="Y12" s="15"/>
      <c r="Z12" s="15"/>
      <c r="AA12" s="4"/>
    </row>
    <row r="13">
      <c r="A13" s="16"/>
      <c r="B13" s="9">
        <v>8.0</v>
      </c>
      <c r="C13" s="10">
        <v>43342.0</v>
      </c>
      <c r="D13" s="11">
        <v>223.25</v>
      </c>
      <c r="E13" s="11">
        <v>228.259995</v>
      </c>
      <c r="F13" s="11">
        <v>222.399994</v>
      </c>
      <c r="G13" s="11">
        <v>225.029999</v>
      </c>
      <c r="H13" s="11">
        <v>221.591385</v>
      </c>
      <c r="I13" s="12">
        <v>4.87938E7</v>
      </c>
      <c r="J13" s="4"/>
      <c r="K13" s="16"/>
      <c r="L13" s="14">
        <v>7.0</v>
      </c>
      <c r="M13" s="15">
        <f>average(H65:H85)</f>
        <v>176.306185</v>
      </c>
      <c r="N13" s="14">
        <v>12.0</v>
      </c>
      <c r="O13" s="15">
        <f t="shared" si="1"/>
        <v>190.0975494</v>
      </c>
      <c r="P13" s="15">
        <f t="shared" si="2"/>
        <v>186.3167618</v>
      </c>
      <c r="Q13" s="15">
        <f t="shared" si="3"/>
        <v>0.9462711961</v>
      </c>
      <c r="R13" s="15"/>
      <c r="S13" s="15"/>
      <c r="T13" s="15"/>
      <c r="U13" s="15"/>
      <c r="V13" s="15"/>
      <c r="W13" s="15"/>
      <c r="X13" s="15"/>
      <c r="Y13" s="15"/>
      <c r="Z13" s="15"/>
      <c r="AA13" s="4"/>
    </row>
    <row r="14">
      <c r="A14" s="16"/>
      <c r="B14" s="9">
        <v>8.0</v>
      </c>
      <c r="C14" s="10">
        <v>43343.0</v>
      </c>
      <c r="D14" s="11">
        <v>226.509995</v>
      </c>
      <c r="E14" s="11">
        <v>228.869995</v>
      </c>
      <c r="F14" s="11">
        <v>226.0</v>
      </c>
      <c r="G14" s="11">
        <v>227.630005</v>
      </c>
      <c r="H14" s="11">
        <v>224.151657</v>
      </c>
      <c r="I14" s="12">
        <v>4.33401E7</v>
      </c>
      <c r="J14" s="4"/>
      <c r="K14" s="17"/>
      <c r="L14" s="14">
        <v>8.0</v>
      </c>
      <c r="M14" s="15">
        <f>average(H243:H252)</f>
        <v>201.3887954</v>
      </c>
      <c r="N14" s="14">
        <v>13.0</v>
      </c>
      <c r="O14" s="15">
        <f t="shared" si="1"/>
        <v>182.5359741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4"/>
    </row>
    <row r="15">
      <c r="A15" s="16"/>
      <c r="B15" s="18">
        <v>9.0</v>
      </c>
      <c r="C15" s="19">
        <v>43347.0</v>
      </c>
      <c r="D15" s="20">
        <v>228.410004</v>
      </c>
      <c r="E15" s="20">
        <v>229.179993</v>
      </c>
      <c r="F15" s="20">
        <v>226.630005</v>
      </c>
      <c r="G15" s="20">
        <v>228.360001</v>
      </c>
      <c r="H15" s="20">
        <v>224.870499</v>
      </c>
      <c r="I15" s="21">
        <v>2.73901E7</v>
      </c>
      <c r="J15" s="4"/>
      <c r="K15" s="4"/>
      <c r="L15" s="4"/>
      <c r="M15" s="4"/>
      <c r="N15" s="4"/>
      <c r="O15" s="4"/>
      <c r="P15" s="4"/>
      <c r="Q15" s="4"/>
      <c r="S15" s="4"/>
      <c r="T15" s="4"/>
      <c r="U15" s="4"/>
      <c r="V15" s="4"/>
      <c r="W15" s="4"/>
      <c r="X15" s="4"/>
      <c r="Y15" s="22" t="s">
        <v>23</v>
      </c>
      <c r="Z15" s="15"/>
      <c r="AA15" s="4"/>
    </row>
    <row r="16">
      <c r="A16" s="16"/>
      <c r="B16" s="18">
        <v>9.0</v>
      </c>
      <c r="C16" s="19">
        <v>43348.0</v>
      </c>
      <c r="D16" s="20">
        <v>228.990005</v>
      </c>
      <c r="E16" s="20">
        <v>229.669998</v>
      </c>
      <c r="F16" s="20">
        <v>225.100006</v>
      </c>
      <c r="G16" s="20">
        <v>226.869995</v>
      </c>
      <c r="H16" s="20">
        <v>223.403275</v>
      </c>
      <c r="I16" s="21">
        <v>3.3333E7</v>
      </c>
      <c r="J16" s="4"/>
      <c r="K16" s="23"/>
      <c r="L16" s="23"/>
      <c r="M16" s="23"/>
      <c r="N16" s="23"/>
      <c r="O16" s="24"/>
      <c r="P16" s="24"/>
      <c r="Q16" s="4"/>
      <c r="R16" s="24"/>
      <c r="S16" s="24"/>
      <c r="T16" s="24"/>
      <c r="U16" s="25"/>
      <c r="V16" s="25"/>
      <c r="X16" s="4"/>
      <c r="Y16" s="26"/>
      <c r="Z16" s="4"/>
      <c r="AA16" s="4"/>
    </row>
    <row r="17">
      <c r="A17" s="16"/>
      <c r="B17" s="18">
        <v>9.0</v>
      </c>
      <c r="C17" s="19">
        <v>43349.0</v>
      </c>
      <c r="D17" s="20">
        <v>226.229996</v>
      </c>
      <c r="E17" s="20">
        <v>227.350006</v>
      </c>
      <c r="F17" s="20">
        <v>221.300003</v>
      </c>
      <c r="G17" s="20">
        <v>223.100006</v>
      </c>
      <c r="H17" s="20">
        <v>219.690903</v>
      </c>
      <c r="I17" s="21">
        <v>3.429E7</v>
      </c>
      <c r="J17" s="4"/>
      <c r="K17" s="27" t="s">
        <v>10</v>
      </c>
      <c r="L17" s="28" t="s">
        <v>24</v>
      </c>
      <c r="M17" s="28" t="s">
        <v>17</v>
      </c>
      <c r="N17" s="28" t="s">
        <v>18</v>
      </c>
      <c r="O17" s="28" t="s">
        <v>19</v>
      </c>
      <c r="P17" s="28" t="s">
        <v>20</v>
      </c>
      <c r="Q17" s="4"/>
      <c r="R17" s="29" t="s">
        <v>1</v>
      </c>
      <c r="S17" s="30" t="s">
        <v>25</v>
      </c>
      <c r="T17" s="31" t="s">
        <v>26</v>
      </c>
      <c r="U17" s="25"/>
      <c r="V17" s="26"/>
      <c r="X17" s="4"/>
      <c r="Y17" s="4"/>
      <c r="Z17" s="4"/>
      <c r="AA17" s="4"/>
    </row>
    <row r="18">
      <c r="A18" s="16"/>
      <c r="B18" s="18">
        <v>9.0</v>
      </c>
      <c r="C18" s="19">
        <v>43350.0</v>
      </c>
      <c r="D18" s="20">
        <v>221.850006</v>
      </c>
      <c r="E18" s="20">
        <v>225.369995</v>
      </c>
      <c r="F18" s="20">
        <v>220.710007</v>
      </c>
      <c r="G18" s="20">
        <v>221.300003</v>
      </c>
      <c r="H18" s="20">
        <v>217.918411</v>
      </c>
      <c r="I18" s="21">
        <v>3.76198E7</v>
      </c>
      <c r="J18" s="4"/>
      <c r="K18" s="32">
        <v>1.0</v>
      </c>
      <c r="L18" s="33">
        <v>214.4885418</v>
      </c>
      <c r="M18" s="34"/>
      <c r="N18" s="34"/>
      <c r="O18" s="35"/>
      <c r="P18" s="35"/>
      <c r="Q18" s="4"/>
      <c r="R18" s="36">
        <v>1.0</v>
      </c>
      <c r="S18" s="37"/>
      <c r="T18" s="37"/>
      <c r="U18" s="25"/>
      <c r="V18" s="26"/>
      <c r="W18" s="26"/>
      <c r="X18" s="4"/>
      <c r="Y18" s="4"/>
      <c r="Z18" s="4"/>
      <c r="AA18" s="4"/>
    </row>
    <row r="19">
      <c r="A19" s="16"/>
      <c r="B19" s="18">
        <v>9.0</v>
      </c>
      <c r="C19" s="19">
        <v>43353.0</v>
      </c>
      <c r="D19" s="20">
        <v>220.949997</v>
      </c>
      <c r="E19" s="20">
        <v>221.850006</v>
      </c>
      <c r="F19" s="20">
        <v>216.470001</v>
      </c>
      <c r="G19" s="20">
        <v>218.330002</v>
      </c>
      <c r="H19" s="20">
        <v>214.993759</v>
      </c>
      <c r="I19" s="21">
        <v>3.95165E7</v>
      </c>
      <c r="J19" s="4"/>
      <c r="K19" s="32">
        <v>2.0</v>
      </c>
      <c r="L19" s="33">
        <v>218.6802577</v>
      </c>
      <c r="M19" s="34"/>
      <c r="N19" s="34"/>
      <c r="O19" s="35"/>
      <c r="P19" s="35"/>
      <c r="Q19" s="4"/>
      <c r="R19" s="36">
        <v>2.0</v>
      </c>
      <c r="S19" s="37"/>
      <c r="T19" s="37"/>
      <c r="U19" s="25"/>
      <c r="V19" s="24"/>
      <c r="W19" s="24"/>
      <c r="X19" s="4"/>
      <c r="Y19" s="4"/>
      <c r="Z19" s="4"/>
      <c r="AA19" s="4"/>
    </row>
    <row r="20">
      <c r="A20" s="16"/>
      <c r="B20" s="18">
        <v>9.0</v>
      </c>
      <c r="C20" s="19">
        <v>43354.0</v>
      </c>
      <c r="D20" s="20">
        <v>218.009995</v>
      </c>
      <c r="E20" s="20">
        <v>224.300003</v>
      </c>
      <c r="F20" s="20">
        <v>216.559998</v>
      </c>
      <c r="G20" s="20">
        <v>223.850006</v>
      </c>
      <c r="H20" s="20">
        <v>220.429443</v>
      </c>
      <c r="I20" s="21">
        <v>3.5749E7</v>
      </c>
      <c r="J20" s="4"/>
      <c r="K20" s="32">
        <v>3.0</v>
      </c>
      <c r="L20" s="33">
        <v>217.4709951</v>
      </c>
      <c r="M20" s="34"/>
      <c r="N20" s="34"/>
      <c r="O20" s="34"/>
      <c r="P20" s="34"/>
      <c r="Q20" s="4"/>
      <c r="R20" s="36">
        <v>3.0</v>
      </c>
      <c r="S20" s="37"/>
      <c r="T20" s="37"/>
      <c r="U20" s="38"/>
      <c r="V20" s="35"/>
      <c r="W20" s="39" t="s">
        <v>27</v>
      </c>
      <c r="X20" s="4"/>
      <c r="Y20" s="4"/>
      <c r="Z20" s="4"/>
      <c r="AA20" s="4"/>
    </row>
    <row r="21">
      <c r="A21" s="16"/>
      <c r="B21" s="18">
        <v>9.0</v>
      </c>
      <c r="C21" s="19">
        <v>43355.0</v>
      </c>
      <c r="D21" s="20">
        <v>224.940002</v>
      </c>
      <c r="E21" s="20">
        <v>225.0</v>
      </c>
      <c r="F21" s="20">
        <v>219.839996</v>
      </c>
      <c r="G21" s="20">
        <v>221.070007</v>
      </c>
      <c r="H21" s="20">
        <v>217.691925</v>
      </c>
      <c r="I21" s="21">
        <v>4.92787E7</v>
      </c>
      <c r="J21" s="4"/>
      <c r="K21" s="32">
        <v>4.0</v>
      </c>
      <c r="L21" s="33">
        <v>188.7995933</v>
      </c>
      <c r="M21" s="34"/>
      <c r="N21" s="34"/>
      <c r="O21" s="34"/>
      <c r="P21" s="34"/>
      <c r="Q21" s="4"/>
      <c r="R21" s="36">
        <v>4.0</v>
      </c>
      <c r="S21" s="37"/>
      <c r="T21" s="37"/>
      <c r="U21" s="38"/>
      <c r="V21" s="37" t="s">
        <v>28</v>
      </c>
      <c r="W21" s="37"/>
      <c r="X21" s="4"/>
      <c r="Y21" s="4"/>
      <c r="Z21" s="4"/>
      <c r="AA21" s="4"/>
    </row>
    <row r="22">
      <c r="A22" s="16"/>
      <c r="B22" s="18">
        <v>9.0</v>
      </c>
      <c r="C22" s="19">
        <v>43356.0</v>
      </c>
      <c r="D22" s="20">
        <v>223.520004</v>
      </c>
      <c r="E22" s="20">
        <v>228.350006</v>
      </c>
      <c r="F22" s="20">
        <v>222.570007</v>
      </c>
      <c r="G22" s="20">
        <v>226.410004</v>
      </c>
      <c r="H22" s="20">
        <v>222.950317</v>
      </c>
      <c r="I22" s="21">
        <v>4.17064E7</v>
      </c>
      <c r="J22" s="4"/>
      <c r="K22" s="32">
        <v>5.0</v>
      </c>
      <c r="L22" s="33">
        <v>162.3206186</v>
      </c>
      <c r="M22" s="34"/>
      <c r="N22" s="34"/>
      <c r="O22" s="34"/>
      <c r="P22" s="34"/>
      <c r="Q22" s="4"/>
      <c r="R22" s="36">
        <v>5.0</v>
      </c>
      <c r="S22" s="37"/>
      <c r="T22" s="37"/>
      <c r="U22" s="38"/>
      <c r="V22" s="37" t="s">
        <v>29</v>
      </c>
      <c r="W22" s="37"/>
      <c r="X22" s="4"/>
      <c r="Y22" s="4"/>
      <c r="Z22" s="4"/>
      <c r="AA22" s="4"/>
    </row>
    <row r="23">
      <c r="A23" s="16"/>
      <c r="B23" s="18">
        <v>9.0</v>
      </c>
      <c r="C23" s="19">
        <v>43357.0</v>
      </c>
      <c r="D23" s="20">
        <v>225.75</v>
      </c>
      <c r="E23" s="20">
        <v>226.839996</v>
      </c>
      <c r="F23" s="20">
        <v>222.520004</v>
      </c>
      <c r="G23" s="20">
        <v>223.839996</v>
      </c>
      <c r="H23" s="20">
        <v>220.419571</v>
      </c>
      <c r="I23" s="21">
        <v>3.19993E7</v>
      </c>
      <c r="J23" s="4"/>
      <c r="K23" s="32">
        <v>6.0</v>
      </c>
      <c r="L23" s="33">
        <v>152.3401262</v>
      </c>
      <c r="M23" s="34"/>
      <c r="N23" s="34"/>
      <c r="O23" s="34"/>
      <c r="P23" s="34"/>
      <c r="Q23" s="4"/>
      <c r="R23" s="36">
        <v>6.0</v>
      </c>
      <c r="S23" s="37"/>
      <c r="T23" s="37"/>
      <c r="U23" s="25"/>
      <c r="V23" s="26"/>
      <c r="W23" s="26"/>
      <c r="X23" s="4"/>
      <c r="Y23" s="4"/>
      <c r="Z23" s="4"/>
      <c r="AA23" s="4"/>
    </row>
    <row r="24">
      <c r="A24" s="16"/>
      <c r="B24" s="18">
        <v>9.0</v>
      </c>
      <c r="C24" s="19">
        <v>43360.0</v>
      </c>
      <c r="D24" s="20">
        <v>222.149994</v>
      </c>
      <c r="E24" s="20">
        <v>222.949997</v>
      </c>
      <c r="F24" s="20">
        <v>217.270004</v>
      </c>
      <c r="G24" s="20">
        <v>217.880005</v>
      </c>
      <c r="H24" s="20">
        <v>214.550659</v>
      </c>
      <c r="I24" s="21">
        <v>3.71951E7</v>
      </c>
      <c r="J24" s="4"/>
      <c r="K24" s="32">
        <v>7.0</v>
      </c>
      <c r="L24" s="33">
        <v>170.2304134</v>
      </c>
      <c r="M24" s="34"/>
      <c r="N24" s="34"/>
      <c r="O24" s="34"/>
      <c r="P24" s="34"/>
      <c r="Q24" s="4"/>
      <c r="R24" s="36">
        <v>7.0</v>
      </c>
      <c r="S24" s="37"/>
      <c r="T24" s="37"/>
      <c r="U24" s="25"/>
      <c r="V24" s="26"/>
      <c r="W24" s="26"/>
      <c r="X24" s="4"/>
      <c r="Y24" s="4"/>
      <c r="Z24" s="4"/>
      <c r="AA24" s="4"/>
    </row>
    <row r="25">
      <c r="A25" s="16"/>
      <c r="B25" s="18">
        <v>9.0</v>
      </c>
      <c r="C25" s="19">
        <v>43361.0</v>
      </c>
      <c r="D25" s="20">
        <v>217.789993</v>
      </c>
      <c r="E25" s="20">
        <v>221.850006</v>
      </c>
      <c r="F25" s="20">
        <v>217.119995</v>
      </c>
      <c r="G25" s="20">
        <v>218.240005</v>
      </c>
      <c r="H25" s="20">
        <v>214.905167</v>
      </c>
      <c r="I25" s="21">
        <v>3.15717E7</v>
      </c>
      <c r="J25" s="4"/>
      <c r="K25" s="32">
        <v>8.0</v>
      </c>
      <c r="L25" s="33">
        <v>182.8030701</v>
      </c>
      <c r="M25" s="34"/>
      <c r="N25" s="34"/>
      <c r="O25" s="34"/>
      <c r="P25" s="34"/>
      <c r="Q25" s="4"/>
      <c r="R25" s="36">
        <v>8.0</v>
      </c>
      <c r="S25" s="37"/>
      <c r="T25" s="37"/>
      <c r="U25" s="25"/>
      <c r="V25" s="40" t="s">
        <v>30</v>
      </c>
      <c r="W25" s="41"/>
      <c r="X25" s="4"/>
      <c r="Y25" s="4"/>
      <c r="Z25" s="4"/>
      <c r="AA25" s="4"/>
    </row>
    <row r="26">
      <c r="A26" s="16"/>
      <c r="B26" s="18">
        <v>9.0</v>
      </c>
      <c r="C26" s="19">
        <v>43362.0</v>
      </c>
      <c r="D26" s="20">
        <v>218.5</v>
      </c>
      <c r="E26" s="20">
        <v>219.619995</v>
      </c>
      <c r="F26" s="20">
        <v>215.300003</v>
      </c>
      <c r="G26" s="20">
        <v>218.369995</v>
      </c>
      <c r="H26" s="20">
        <v>215.033142</v>
      </c>
      <c r="I26" s="21">
        <v>2.71238E7</v>
      </c>
      <c r="J26" s="4"/>
      <c r="K26" s="32">
        <v>9.0</v>
      </c>
      <c r="L26" s="33">
        <v>198.9909109</v>
      </c>
      <c r="M26" s="34"/>
      <c r="N26" s="34"/>
      <c r="O26" s="34"/>
      <c r="P26" s="34"/>
      <c r="Q26" s="4"/>
      <c r="R26" s="36">
        <v>9.0</v>
      </c>
      <c r="S26" s="37"/>
      <c r="T26" s="37"/>
      <c r="U26" s="25"/>
      <c r="V26" s="26"/>
      <c r="W26" s="26"/>
      <c r="X26" s="4"/>
      <c r="Y26" s="4"/>
      <c r="Z26" s="4"/>
      <c r="AA26" s="4"/>
    </row>
    <row r="27">
      <c r="A27" s="16"/>
      <c r="B27" s="18">
        <v>9.0</v>
      </c>
      <c r="C27" s="19">
        <v>43363.0</v>
      </c>
      <c r="D27" s="20">
        <v>220.240005</v>
      </c>
      <c r="E27" s="20">
        <v>222.279999</v>
      </c>
      <c r="F27" s="20">
        <v>219.149994</v>
      </c>
      <c r="G27" s="20">
        <v>220.029999</v>
      </c>
      <c r="H27" s="20">
        <v>216.667816</v>
      </c>
      <c r="I27" s="21">
        <v>2.66088E7</v>
      </c>
      <c r="J27" s="4"/>
      <c r="K27" s="32">
        <v>10.0</v>
      </c>
      <c r="L27" s="33">
        <v>179.063138</v>
      </c>
      <c r="M27" s="34"/>
      <c r="N27" s="34"/>
      <c r="O27" s="34"/>
      <c r="P27" s="34"/>
      <c r="Q27" s="4"/>
      <c r="R27" s="36">
        <v>10.0</v>
      </c>
      <c r="S27" s="37"/>
      <c r="T27" s="37"/>
      <c r="U27" s="25"/>
      <c r="V27" s="26"/>
      <c r="W27" s="26"/>
      <c r="X27" s="4"/>
      <c r="Y27" s="4"/>
      <c r="Z27" s="4"/>
      <c r="AA27" s="4"/>
    </row>
    <row r="28">
      <c r="A28" s="16"/>
      <c r="B28" s="18">
        <v>9.0</v>
      </c>
      <c r="C28" s="19">
        <v>43364.0</v>
      </c>
      <c r="D28" s="20">
        <v>220.779999</v>
      </c>
      <c r="E28" s="20">
        <v>221.360001</v>
      </c>
      <c r="F28" s="20">
        <v>217.289993</v>
      </c>
      <c r="G28" s="20">
        <v>217.660004</v>
      </c>
      <c r="H28" s="20">
        <v>214.33403</v>
      </c>
      <c r="I28" s="21">
        <v>9.62467E7</v>
      </c>
      <c r="J28" s="4"/>
      <c r="K28" s="32">
        <v>11.0</v>
      </c>
      <c r="L28" s="33">
        <v>192.2385994</v>
      </c>
      <c r="M28" s="34"/>
      <c r="N28" s="34"/>
      <c r="O28" s="34"/>
      <c r="P28" s="34"/>
      <c r="Q28" s="4"/>
      <c r="R28" s="36">
        <v>11.0</v>
      </c>
      <c r="S28" s="37"/>
      <c r="T28" s="37"/>
      <c r="U28" s="25"/>
      <c r="V28" s="26"/>
      <c r="W28" s="26"/>
      <c r="X28" s="4"/>
      <c r="Y28" s="4"/>
      <c r="Z28" s="4"/>
      <c r="AA28" s="4"/>
    </row>
    <row r="29">
      <c r="A29" s="16"/>
      <c r="B29" s="18">
        <v>9.0</v>
      </c>
      <c r="C29" s="19">
        <v>43367.0</v>
      </c>
      <c r="D29" s="20">
        <v>216.820007</v>
      </c>
      <c r="E29" s="20">
        <v>221.259995</v>
      </c>
      <c r="F29" s="20">
        <v>216.630005</v>
      </c>
      <c r="G29" s="20">
        <v>220.789993</v>
      </c>
      <c r="H29" s="20">
        <v>217.416183</v>
      </c>
      <c r="I29" s="21">
        <v>2.76934E7</v>
      </c>
      <c r="J29" s="4"/>
      <c r="K29" s="32">
        <v>12.0</v>
      </c>
      <c r="L29" s="33">
        <v>176.3063138</v>
      </c>
      <c r="M29" s="34"/>
      <c r="N29" s="34"/>
      <c r="O29" s="34"/>
      <c r="P29" s="34"/>
      <c r="Q29" s="4"/>
      <c r="R29" s="36">
        <v>12.0</v>
      </c>
      <c r="S29" s="37"/>
      <c r="T29" s="37"/>
      <c r="U29" s="25"/>
      <c r="V29" s="26"/>
      <c r="W29" s="26"/>
      <c r="X29" s="4"/>
      <c r="Y29" s="4"/>
      <c r="Z29" s="4"/>
      <c r="AA29" s="4"/>
    </row>
    <row r="30">
      <c r="A30" s="16"/>
      <c r="B30" s="18">
        <v>9.0</v>
      </c>
      <c r="C30" s="19">
        <v>43368.0</v>
      </c>
      <c r="D30" s="20">
        <v>219.75</v>
      </c>
      <c r="E30" s="20">
        <v>222.820007</v>
      </c>
      <c r="F30" s="20">
        <v>219.699997</v>
      </c>
      <c r="G30" s="20">
        <v>222.190002</v>
      </c>
      <c r="H30" s="20">
        <v>218.7948</v>
      </c>
      <c r="I30" s="21">
        <v>2.45544E7</v>
      </c>
      <c r="J30" s="4"/>
      <c r="K30" s="32">
        <v>13.0</v>
      </c>
      <c r="L30" s="33">
        <v>201.3887954</v>
      </c>
      <c r="M30" s="34"/>
      <c r="N30" s="34"/>
      <c r="O30" s="34"/>
      <c r="P30" s="34"/>
      <c r="Q30" s="4"/>
      <c r="R30" s="36" t="s">
        <v>23</v>
      </c>
      <c r="S30" s="37"/>
      <c r="T30" s="37"/>
      <c r="U30" s="25"/>
      <c r="V30" s="26"/>
      <c r="W30" s="26"/>
      <c r="X30" s="4"/>
      <c r="Y30" s="4"/>
      <c r="Z30" s="4"/>
      <c r="AA30" s="4"/>
    </row>
    <row r="31">
      <c r="A31" s="16"/>
      <c r="B31" s="18">
        <v>9.0</v>
      </c>
      <c r="C31" s="19">
        <v>43369.0</v>
      </c>
      <c r="D31" s="20">
        <v>221.0</v>
      </c>
      <c r="E31" s="20">
        <v>223.75</v>
      </c>
      <c r="F31" s="20">
        <v>219.759995</v>
      </c>
      <c r="G31" s="20">
        <v>220.419998</v>
      </c>
      <c r="H31" s="20">
        <v>217.051849</v>
      </c>
      <c r="I31" s="21">
        <v>2.39847E7</v>
      </c>
      <c r="J31" s="4"/>
      <c r="K31" s="4"/>
      <c r="L31" s="4"/>
      <c r="M31" s="4"/>
      <c r="N31" s="4"/>
      <c r="O31" s="4"/>
      <c r="P31" s="4"/>
      <c r="Q31" s="4"/>
      <c r="R31" s="36" t="s">
        <v>31</v>
      </c>
      <c r="S31" s="37"/>
      <c r="T31" s="37"/>
      <c r="U31" s="25"/>
      <c r="V31" s="26"/>
      <c r="W31" s="26"/>
      <c r="X31" s="4"/>
      <c r="Y31" s="4"/>
      <c r="Z31" s="4"/>
      <c r="AA31" s="4"/>
    </row>
    <row r="32">
      <c r="A32" s="16"/>
      <c r="B32" s="18">
        <v>9.0</v>
      </c>
      <c r="C32" s="19">
        <v>43370.0</v>
      </c>
      <c r="D32" s="20">
        <v>223.820007</v>
      </c>
      <c r="E32" s="20">
        <v>226.440002</v>
      </c>
      <c r="F32" s="20">
        <v>223.539993</v>
      </c>
      <c r="G32" s="20">
        <v>224.949997</v>
      </c>
      <c r="H32" s="20">
        <v>221.512604</v>
      </c>
      <c r="I32" s="21">
        <v>3.01812E7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6"/>
      <c r="B33" s="18">
        <v>9.0</v>
      </c>
      <c r="C33" s="19">
        <v>43371.0</v>
      </c>
      <c r="D33" s="20">
        <v>224.789993</v>
      </c>
      <c r="E33" s="20">
        <v>225.839996</v>
      </c>
      <c r="F33" s="20">
        <v>224.020004</v>
      </c>
      <c r="G33" s="20">
        <v>225.740005</v>
      </c>
      <c r="H33" s="20">
        <v>222.290543</v>
      </c>
      <c r="I33" s="21">
        <v>2.29294E7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6"/>
      <c r="B34" s="42">
        <v>10.0</v>
      </c>
      <c r="C34" s="43">
        <v>43374.0</v>
      </c>
      <c r="D34" s="44">
        <v>227.949997</v>
      </c>
      <c r="E34" s="44">
        <v>229.419998</v>
      </c>
      <c r="F34" s="44">
        <v>226.350006</v>
      </c>
      <c r="G34" s="44">
        <v>227.259995</v>
      </c>
      <c r="H34" s="44">
        <v>223.787323</v>
      </c>
      <c r="I34" s="45">
        <v>2.36008E7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6"/>
      <c r="B35" s="42">
        <v>10.0</v>
      </c>
      <c r="C35" s="43">
        <v>43375.0</v>
      </c>
      <c r="D35" s="44">
        <v>227.25</v>
      </c>
      <c r="E35" s="44">
        <v>230.0</v>
      </c>
      <c r="F35" s="44">
        <v>226.630005</v>
      </c>
      <c r="G35" s="44">
        <v>229.279999</v>
      </c>
      <c r="H35" s="44">
        <v>225.776459</v>
      </c>
      <c r="I35" s="45">
        <v>2.47882E7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6"/>
      <c r="B36" s="42">
        <v>10.0</v>
      </c>
      <c r="C36" s="43">
        <v>43376.0</v>
      </c>
      <c r="D36" s="44">
        <v>230.050003</v>
      </c>
      <c r="E36" s="44">
        <v>233.470001</v>
      </c>
      <c r="F36" s="44">
        <v>229.779999</v>
      </c>
      <c r="G36" s="44">
        <v>232.070007</v>
      </c>
      <c r="H36" s="44">
        <v>228.523819</v>
      </c>
      <c r="I36" s="45">
        <v>2.86548E7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6"/>
      <c r="B37" s="42">
        <v>10.0</v>
      </c>
      <c r="C37" s="43">
        <v>43377.0</v>
      </c>
      <c r="D37" s="44">
        <v>230.779999</v>
      </c>
      <c r="E37" s="44">
        <v>232.350006</v>
      </c>
      <c r="F37" s="44">
        <v>226.729996</v>
      </c>
      <c r="G37" s="44">
        <v>227.990005</v>
      </c>
      <c r="H37" s="44">
        <v>224.50618</v>
      </c>
      <c r="I37" s="45">
        <v>3.2042E7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6"/>
      <c r="B38" s="42">
        <v>10.0</v>
      </c>
      <c r="C38" s="43">
        <v>43378.0</v>
      </c>
      <c r="D38" s="44">
        <v>227.960007</v>
      </c>
      <c r="E38" s="44">
        <v>228.410004</v>
      </c>
      <c r="F38" s="44">
        <v>220.580002</v>
      </c>
      <c r="G38" s="44">
        <v>224.289993</v>
      </c>
      <c r="H38" s="44">
        <v>220.862717</v>
      </c>
      <c r="I38" s="45">
        <v>3.35805E7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6"/>
      <c r="B39" s="42">
        <v>10.0</v>
      </c>
      <c r="C39" s="43">
        <v>43381.0</v>
      </c>
      <c r="D39" s="44">
        <v>222.210007</v>
      </c>
      <c r="E39" s="44">
        <v>224.800003</v>
      </c>
      <c r="F39" s="44">
        <v>220.199997</v>
      </c>
      <c r="G39" s="44">
        <v>223.770004</v>
      </c>
      <c r="H39" s="44">
        <v>220.350662</v>
      </c>
      <c r="I39" s="45">
        <v>2.96639E7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6"/>
      <c r="B40" s="42">
        <v>10.0</v>
      </c>
      <c r="C40" s="43">
        <v>43382.0</v>
      </c>
      <c r="D40" s="44">
        <v>223.639999</v>
      </c>
      <c r="E40" s="44">
        <v>227.270004</v>
      </c>
      <c r="F40" s="44">
        <v>222.25</v>
      </c>
      <c r="G40" s="44">
        <v>226.869995</v>
      </c>
      <c r="H40" s="44">
        <v>223.403275</v>
      </c>
      <c r="I40" s="45">
        <v>2.6891E7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6"/>
      <c r="B41" s="42">
        <v>10.0</v>
      </c>
      <c r="C41" s="43">
        <v>43383.0</v>
      </c>
      <c r="D41" s="44">
        <v>225.460007</v>
      </c>
      <c r="E41" s="44">
        <v>226.350006</v>
      </c>
      <c r="F41" s="44">
        <v>216.050003</v>
      </c>
      <c r="G41" s="44">
        <v>216.360001</v>
      </c>
      <c r="H41" s="44">
        <v>213.053894</v>
      </c>
      <c r="I41" s="45">
        <v>4.19906E7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6"/>
      <c r="B42" s="42">
        <v>10.0</v>
      </c>
      <c r="C42" s="43">
        <v>43384.0</v>
      </c>
      <c r="D42" s="44">
        <v>214.520004</v>
      </c>
      <c r="E42" s="44">
        <v>219.5</v>
      </c>
      <c r="F42" s="44">
        <v>212.320007</v>
      </c>
      <c r="G42" s="44">
        <v>214.449997</v>
      </c>
      <c r="H42" s="44">
        <v>211.173065</v>
      </c>
      <c r="I42" s="45">
        <v>5.31244E7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6"/>
      <c r="B43" s="42">
        <v>10.0</v>
      </c>
      <c r="C43" s="43">
        <v>43385.0</v>
      </c>
      <c r="D43" s="44">
        <v>220.419998</v>
      </c>
      <c r="E43" s="44">
        <v>222.880005</v>
      </c>
      <c r="F43" s="44">
        <v>216.839996</v>
      </c>
      <c r="G43" s="44">
        <v>222.110001</v>
      </c>
      <c r="H43" s="44">
        <v>218.716034</v>
      </c>
      <c r="I43" s="45">
        <v>4.03379E7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6"/>
      <c r="B44" s="42">
        <v>10.0</v>
      </c>
      <c r="C44" s="43">
        <v>43388.0</v>
      </c>
      <c r="D44" s="44">
        <v>221.160004</v>
      </c>
      <c r="E44" s="44">
        <v>221.830002</v>
      </c>
      <c r="F44" s="44">
        <v>217.270004</v>
      </c>
      <c r="G44" s="44">
        <v>217.360001</v>
      </c>
      <c r="H44" s="44">
        <v>214.038605</v>
      </c>
      <c r="I44" s="45">
        <v>3.0791E7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6"/>
      <c r="B45" s="42">
        <v>10.0</v>
      </c>
      <c r="C45" s="43">
        <v>43389.0</v>
      </c>
      <c r="D45" s="44">
        <v>218.929993</v>
      </c>
      <c r="E45" s="44">
        <v>222.990005</v>
      </c>
      <c r="F45" s="44">
        <v>216.759995</v>
      </c>
      <c r="G45" s="44">
        <v>222.149994</v>
      </c>
      <c r="H45" s="44">
        <v>218.755417</v>
      </c>
      <c r="I45" s="45">
        <v>2.9184E7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6"/>
      <c r="B46" s="42">
        <v>10.0</v>
      </c>
      <c r="C46" s="43">
        <v>43390.0</v>
      </c>
      <c r="D46" s="44">
        <v>222.300003</v>
      </c>
      <c r="E46" s="44">
        <v>222.639999</v>
      </c>
      <c r="F46" s="44">
        <v>219.339996</v>
      </c>
      <c r="G46" s="44">
        <v>221.190002</v>
      </c>
      <c r="H46" s="44">
        <v>217.810089</v>
      </c>
      <c r="I46" s="45">
        <v>2.28854E7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6"/>
      <c r="B47" s="42">
        <v>10.0</v>
      </c>
      <c r="C47" s="43">
        <v>43391.0</v>
      </c>
      <c r="D47" s="44">
        <v>217.860001</v>
      </c>
      <c r="E47" s="44">
        <v>219.740005</v>
      </c>
      <c r="F47" s="44">
        <v>213.0</v>
      </c>
      <c r="G47" s="44">
        <v>216.020004</v>
      </c>
      <c r="H47" s="44">
        <v>212.719086</v>
      </c>
      <c r="I47" s="45">
        <v>3.25813E7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6"/>
      <c r="B48" s="42">
        <v>10.0</v>
      </c>
      <c r="C48" s="43">
        <v>43392.0</v>
      </c>
      <c r="D48" s="44">
        <v>218.059998</v>
      </c>
      <c r="E48" s="44">
        <v>221.259995</v>
      </c>
      <c r="F48" s="44">
        <v>217.429993</v>
      </c>
      <c r="G48" s="44">
        <v>219.309998</v>
      </c>
      <c r="H48" s="44">
        <v>215.958801</v>
      </c>
      <c r="I48" s="45">
        <v>3.30787E7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6"/>
      <c r="B49" s="42">
        <v>10.0</v>
      </c>
      <c r="C49" s="43">
        <v>43395.0</v>
      </c>
      <c r="D49" s="44">
        <v>219.789993</v>
      </c>
      <c r="E49" s="44">
        <v>223.360001</v>
      </c>
      <c r="F49" s="44">
        <v>218.940002</v>
      </c>
      <c r="G49" s="44">
        <v>220.649994</v>
      </c>
      <c r="H49" s="44">
        <v>217.27832</v>
      </c>
      <c r="I49" s="45">
        <v>2.87921E7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6"/>
      <c r="B50" s="42">
        <v>10.0</v>
      </c>
      <c r="C50" s="43">
        <v>43396.0</v>
      </c>
      <c r="D50" s="44">
        <v>215.830002</v>
      </c>
      <c r="E50" s="44">
        <v>223.25</v>
      </c>
      <c r="F50" s="44">
        <v>214.699997</v>
      </c>
      <c r="G50" s="44">
        <v>222.729996</v>
      </c>
      <c r="H50" s="44">
        <v>219.326538</v>
      </c>
      <c r="I50" s="45">
        <v>3.87678E7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6"/>
      <c r="B51" s="42">
        <v>10.0</v>
      </c>
      <c r="C51" s="43">
        <v>43397.0</v>
      </c>
      <c r="D51" s="44">
        <v>222.600006</v>
      </c>
      <c r="E51" s="44">
        <v>224.229996</v>
      </c>
      <c r="F51" s="44">
        <v>214.539993</v>
      </c>
      <c r="G51" s="44">
        <v>215.089996</v>
      </c>
      <c r="H51" s="44">
        <v>211.803284</v>
      </c>
      <c r="I51" s="45">
        <v>4.09255E7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6"/>
      <c r="B52" s="42">
        <v>10.0</v>
      </c>
      <c r="C52" s="43">
        <v>43398.0</v>
      </c>
      <c r="D52" s="44">
        <v>217.710007</v>
      </c>
      <c r="E52" s="44">
        <v>221.380005</v>
      </c>
      <c r="F52" s="44">
        <v>216.75</v>
      </c>
      <c r="G52" s="44">
        <v>219.800003</v>
      </c>
      <c r="H52" s="44">
        <v>216.44133</v>
      </c>
      <c r="I52" s="45">
        <v>2.98558E7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6"/>
      <c r="B53" s="42">
        <v>10.0</v>
      </c>
      <c r="C53" s="43">
        <v>43399.0</v>
      </c>
      <c r="D53" s="44">
        <v>215.899994</v>
      </c>
      <c r="E53" s="44">
        <v>220.190002</v>
      </c>
      <c r="F53" s="44">
        <v>212.669998</v>
      </c>
      <c r="G53" s="44">
        <v>216.300003</v>
      </c>
      <c r="H53" s="44">
        <v>212.994797</v>
      </c>
      <c r="I53" s="45">
        <v>4.72584E7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6"/>
      <c r="B54" s="42">
        <v>10.0</v>
      </c>
      <c r="C54" s="43">
        <v>43402.0</v>
      </c>
      <c r="D54" s="44">
        <v>219.190002</v>
      </c>
      <c r="E54" s="44">
        <v>219.690002</v>
      </c>
      <c r="F54" s="44">
        <v>206.089996</v>
      </c>
      <c r="G54" s="44">
        <v>212.240005</v>
      </c>
      <c r="H54" s="44">
        <v>208.996857</v>
      </c>
      <c r="I54" s="45">
        <v>4.59355E7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6"/>
      <c r="B55" s="42">
        <v>10.0</v>
      </c>
      <c r="C55" s="43">
        <v>43403.0</v>
      </c>
      <c r="D55" s="44">
        <v>211.149994</v>
      </c>
      <c r="E55" s="44">
        <v>215.179993</v>
      </c>
      <c r="F55" s="44">
        <v>209.270004</v>
      </c>
      <c r="G55" s="44">
        <v>213.300003</v>
      </c>
      <c r="H55" s="44">
        <v>210.040649</v>
      </c>
      <c r="I55" s="45">
        <v>3.666E7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6"/>
      <c r="B56" s="42">
        <v>10.0</v>
      </c>
      <c r="C56" s="43">
        <v>43404.0</v>
      </c>
      <c r="D56" s="44">
        <v>216.880005</v>
      </c>
      <c r="E56" s="44">
        <v>220.449997</v>
      </c>
      <c r="F56" s="44">
        <v>216.619995</v>
      </c>
      <c r="G56" s="44">
        <v>218.860001</v>
      </c>
      <c r="H56" s="44">
        <v>215.515686</v>
      </c>
      <c r="I56" s="45">
        <v>3.83589E7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6"/>
      <c r="B57" s="46">
        <v>11.0</v>
      </c>
      <c r="C57" s="47">
        <v>43405.0</v>
      </c>
      <c r="D57" s="48">
        <v>219.050003</v>
      </c>
      <c r="E57" s="48">
        <v>222.360001</v>
      </c>
      <c r="F57" s="48">
        <v>216.809998</v>
      </c>
      <c r="G57" s="48">
        <v>222.220001</v>
      </c>
      <c r="H57" s="48">
        <v>218.824341</v>
      </c>
      <c r="I57" s="49">
        <v>5.83232E7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6"/>
      <c r="B58" s="46">
        <v>11.0</v>
      </c>
      <c r="C58" s="47">
        <v>43406.0</v>
      </c>
      <c r="D58" s="48">
        <v>209.550003</v>
      </c>
      <c r="E58" s="48">
        <v>213.649994</v>
      </c>
      <c r="F58" s="48">
        <v>205.429993</v>
      </c>
      <c r="G58" s="48">
        <v>207.479996</v>
      </c>
      <c r="H58" s="48">
        <v>204.30957</v>
      </c>
      <c r="I58" s="49">
        <v>9.13287E7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6"/>
      <c r="B59" s="46">
        <v>11.0</v>
      </c>
      <c r="C59" s="47">
        <v>43409.0</v>
      </c>
      <c r="D59" s="48">
        <v>204.300003</v>
      </c>
      <c r="E59" s="48">
        <v>204.389999</v>
      </c>
      <c r="F59" s="48">
        <v>198.169998</v>
      </c>
      <c r="G59" s="48">
        <v>201.589996</v>
      </c>
      <c r="H59" s="48">
        <v>198.509583</v>
      </c>
      <c r="I59" s="49">
        <v>6.61637E7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6"/>
      <c r="B60" s="46">
        <v>11.0</v>
      </c>
      <c r="C60" s="47">
        <v>43410.0</v>
      </c>
      <c r="D60" s="48">
        <v>201.919998</v>
      </c>
      <c r="E60" s="48">
        <v>204.720001</v>
      </c>
      <c r="F60" s="48">
        <v>201.690002</v>
      </c>
      <c r="G60" s="48">
        <v>203.770004</v>
      </c>
      <c r="H60" s="48">
        <v>200.656265</v>
      </c>
      <c r="I60" s="49">
        <v>3.18829E7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6"/>
      <c r="B61" s="46">
        <v>11.0</v>
      </c>
      <c r="C61" s="47">
        <v>43411.0</v>
      </c>
      <c r="D61" s="48">
        <v>205.970001</v>
      </c>
      <c r="E61" s="48">
        <v>210.059998</v>
      </c>
      <c r="F61" s="48">
        <v>204.130005</v>
      </c>
      <c r="G61" s="48">
        <v>209.949997</v>
      </c>
      <c r="H61" s="48">
        <v>206.741821</v>
      </c>
      <c r="I61" s="49">
        <v>3.34244E7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6"/>
      <c r="B62" s="46">
        <v>11.0</v>
      </c>
      <c r="C62" s="47">
        <v>43412.0</v>
      </c>
      <c r="D62" s="48">
        <v>209.979996</v>
      </c>
      <c r="E62" s="48">
        <v>210.119995</v>
      </c>
      <c r="F62" s="48">
        <v>206.75</v>
      </c>
      <c r="G62" s="48">
        <v>208.490005</v>
      </c>
      <c r="H62" s="48">
        <v>206.020493</v>
      </c>
      <c r="I62" s="49">
        <v>2.53626E7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6"/>
      <c r="B63" s="46">
        <v>11.0</v>
      </c>
      <c r="C63" s="47">
        <v>43413.0</v>
      </c>
      <c r="D63" s="48">
        <v>205.550003</v>
      </c>
      <c r="E63" s="48">
        <v>206.009995</v>
      </c>
      <c r="F63" s="48">
        <v>202.25</v>
      </c>
      <c r="G63" s="48">
        <v>204.470001</v>
      </c>
      <c r="H63" s="48">
        <v>202.048096</v>
      </c>
      <c r="I63" s="49">
        <v>3.43658E7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6"/>
      <c r="B64" s="46">
        <v>11.0</v>
      </c>
      <c r="C64" s="47">
        <v>43416.0</v>
      </c>
      <c r="D64" s="48">
        <v>199.0</v>
      </c>
      <c r="E64" s="48">
        <v>199.850006</v>
      </c>
      <c r="F64" s="48">
        <v>193.789993</v>
      </c>
      <c r="G64" s="48">
        <v>194.169998</v>
      </c>
      <c r="H64" s="48">
        <v>191.870087</v>
      </c>
      <c r="I64" s="49">
        <v>5.11355E7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6"/>
      <c r="B65" s="46">
        <v>11.0</v>
      </c>
      <c r="C65" s="47">
        <v>43417.0</v>
      </c>
      <c r="D65" s="48">
        <v>191.630005</v>
      </c>
      <c r="E65" s="48">
        <v>197.179993</v>
      </c>
      <c r="F65" s="48">
        <v>191.449997</v>
      </c>
      <c r="G65" s="48">
        <v>192.229996</v>
      </c>
      <c r="H65" s="48">
        <v>189.953079</v>
      </c>
      <c r="I65" s="49">
        <v>4.68829E7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6"/>
      <c r="B66" s="46">
        <v>11.0</v>
      </c>
      <c r="C66" s="47">
        <v>43418.0</v>
      </c>
      <c r="D66" s="48">
        <v>193.899994</v>
      </c>
      <c r="E66" s="48">
        <v>194.479996</v>
      </c>
      <c r="F66" s="48">
        <v>185.929993</v>
      </c>
      <c r="G66" s="48">
        <v>186.800003</v>
      </c>
      <c r="H66" s="48">
        <v>184.587402</v>
      </c>
      <c r="I66" s="49">
        <v>6.0801E7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6"/>
      <c r="B67" s="46">
        <v>11.0</v>
      </c>
      <c r="C67" s="47">
        <v>43419.0</v>
      </c>
      <c r="D67" s="48">
        <v>188.389999</v>
      </c>
      <c r="E67" s="48">
        <v>191.970001</v>
      </c>
      <c r="F67" s="48">
        <v>186.899994</v>
      </c>
      <c r="G67" s="48">
        <v>191.410004</v>
      </c>
      <c r="H67" s="48">
        <v>189.142792</v>
      </c>
      <c r="I67" s="49">
        <v>4.64788E7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6"/>
      <c r="B68" s="46">
        <v>11.0</v>
      </c>
      <c r="C68" s="47">
        <v>43420.0</v>
      </c>
      <c r="D68" s="48">
        <v>190.5</v>
      </c>
      <c r="E68" s="48">
        <v>194.970001</v>
      </c>
      <c r="F68" s="48">
        <v>189.460007</v>
      </c>
      <c r="G68" s="48">
        <v>193.529999</v>
      </c>
      <c r="H68" s="48">
        <v>191.237686</v>
      </c>
      <c r="I68" s="49">
        <v>3.69283E7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6"/>
      <c r="B69" s="46">
        <v>11.0</v>
      </c>
      <c r="C69" s="47">
        <v>43423.0</v>
      </c>
      <c r="D69" s="48">
        <v>190.0</v>
      </c>
      <c r="E69" s="48">
        <v>190.699997</v>
      </c>
      <c r="F69" s="48">
        <v>184.990005</v>
      </c>
      <c r="G69" s="48">
        <v>185.860001</v>
      </c>
      <c r="H69" s="48">
        <v>183.658539</v>
      </c>
      <c r="I69" s="49">
        <v>4.19253E7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6"/>
      <c r="B70" s="46">
        <v>11.0</v>
      </c>
      <c r="C70" s="47">
        <v>43424.0</v>
      </c>
      <c r="D70" s="48">
        <v>178.369995</v>
      </c>
      <c r="E70" s="48">
        <v>181.470001</v>
      </c>
      <c r="F70" s="48">
        <v>175.509995</v>
      </c>
      <c r="G70" s="48">
        <v>176.979996</v>
      </c>
      <c r="H70" s="48">
        <v>174.883713</v>
      </c>
      <c r="I70" s="49">
        <v>6.78252E7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6"/>
      <c r="B71" s="46">
        <v>11.0</v>
      </c>
      <c r="C71" s="47">
        <v>43425.0</v>
      </c>
      <c r="D71" s="48">
        <v>179.729996</v>
      </c>
      <c r="E71" s="48">
        <v>180.270004</v>
      </c>
      <c r="F71" s="48">
        <v>176.550003</v>
      </c>
      <c r="G71" s="48">
        <v>176.779999</v>
      </c>
      <c r="H71" s="48">
        <v>174.686081</v>
      </c>
      <c r="I71" s="49">
        <v>3.11242E7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6"/>
      <c r="B72" s="46">
        <v>11.0</v>
      </c>
      <c r="C72" s="47">
        <v>43427.0</v>
      </c>
      <c r="D72" s="48">
        <v>174.940002</v>
      </c>
      <c r="E72" s="48">
        <v>176.600006</v>
      </c>
      <c r="F72" s="48">
        <v>172.100006</v>
      </c>
      <c r="G72" s="48">
        <v>172.289993</v>
      </c>
      <c r="H72" s="48">
        <v>170.249252</v>
      </c>
      <c r="I72" s="49">
        <v>2.3624E7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6"/>
      <c r="B73" s="46">
        <v>11.0</v>
      </c>
      <c r="C73" s="47">
        <v>43430.0</v>
      </c>
      <c r="D73" s="48">
        <v>174.240005</v>
      </c>
      <c r="E73" s="48">
        <v>174.949997</v>
      </c>
      <c r="F73" s="48">
        <v>170.259995</v>
      </c>
      <c r="G73" s="48">
        <v>174.619995</v>
      </c>
      <c r="H73" s="48">
        <v>172.551666</v>
      </c>
      <c r="I73" s="49">
        <v>4.49985E7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6"/>
      <c r="B74" s="46">
        <v>11.0</v>
      </c>
      <c r="C74" s="47">
        <v>43431.0</v>
      </c>
      <c r="D74" s="48">
        <v>171.509995</v>
      </c>
      <c r="E74" s="48">
        <v>174.770004</v>
      </c>
      <c r="F74" s="48">
        <v>170.880005</v>
      </c>
      <c r="G74" s="48">
        <v>174.240005</v>
      </c>
      <c r="H74" s="48">
        <v>172.176163</v>
      </c>
      <c r="I74" s="49">
        <v>4.13874E7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6"/>
      <c r="B75" s="46">
        <v>11.0</v>
      </c>
      <c r="C75" s="47">
        <v>43432.0</v>
      </c>
      <c r="D75" s="48">
        <v>176.729996</v>
      </c>
      <c r="E75" s="48">
        <v>181.289993</v>
      </c>
      <c r="F75" s="48">
        <v>174.929993</v>
      </c>
      <c r="G75" s="48">
        <v>180.940002</v>
      </c>
      <c r="H75" s="48">
        <v>178.796799</v>
      </c>
      <c r="I75" s="49">
        <v>4.60625E7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6">
        <v>11.0</v>
      </c>
      <c r="C76" s="47">
        <v>43433.0</v>
      </c>
      <c r="D76" s="48">
        <v>182.660004</v>
      </c>
      <c r="E76" s="48">
        <v>182.800003</v>
      </c>
      <c r="F76" s="48">
        <v>177.699997</v>
      </c>
      <c r="G76" s="48">
        <v>179.550003</v>
      </c>
      <c r="H76" s="48">
        <v>177.423264</v>
      </c>
      <c r="I76" s="49">
        <v>4.177E7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6">
        <v>11.0</v>
      </c>
      <c r="C77" s="47">
        <v>43434.0</v>
      </c>
      <c r="D77" s="48">
        <v>180.289993</v>
      </c>
      <c r="E77" s="48">
        <v>180.330002</v>
      </c>
      <c r="F77" s="48">
        <v>177.029999</v>
      </c>
      <c r="G77" s="48">
        <v>178.580002</v>
      </c>
      <c r="H77" s="48">
        <v>176.464767</v>
      </c>
      <c r="I77" s="49">
        <v>3.95315E7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50">
        <v>12.0</v>
      </c>
      <c r="C78" s="51">
        <v>43437.0</v>
      </c>
      <c r="D78" s="52">
        <v>184.460007</v>
      </c>
      <c r="E78" s="52">
        <v>184.940002</v>
      </c>
      <c r="F78" s="52">
        <v>181.210007</v>
      </c>
      <c r="G78" s="52">
        <v>184.820007</v>
      </c>
      <c r="H78" s="52">
        <v>182.630859</v>
      </c>
      <c r="I78" s="53">
        <v>4.08025E7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50">
        <v>12.0</v>
      </c>
      <c r="C79" s="51">
        <v>43438.0</v>
      </c>
      <c r="D79" s="52">
        <v>180.949997</v>
      </c>
      <c r="E79" s="52">
        <v>182.389999</v>
      </c>
      <c r="F79" s="52">
        <v>176.270004</v>
      </c>
      <c r="G79" s="52">
        <v>176.690002</v>
      </c>
      <c r="H79" s="52">
        <v>174.597153</v>
      </c>
      <c r="I79" s="53">
        <v>4.13443E7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50">
        <v>12.0</v>
      </c>
      <c r="C80" s="51">
        <v>43440.0</v>
      </c>
      <c r="D80" s="52">
        <v>171.759995</v>
      </c>
      <c r="E80" s="52">
        <v>174.779999</v>
      </c>
      <c r="F80" s="52">
        <v>170.419998</v>
      </c>
      <c r="G80" s="52">
        <v>174.720001</v>
      </c>
      <c r="H80" s="52">
        <v>172.650482</v>
      </c>
      <c r="I80" s="53">
        <v>4.30984E7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50">
        <v>12.0</v>
      </c>
      <c r="C81" s="51">
        <v>43441.0</v>
      </c>
      <c r="D81" s="52">
        <v>173.490005</v>
      </c>
      <c r="E81" s="52">
        <v>174.490005</v>
      </c>
      <c r="F81" s="52">
        <v>168.300003</v>
      </c>
      <c r="G81" s="52">
        <v>168.490005</v>
      </c>
      <c r="H81" s="52">
        <v>166.494278</v>
      </c>
      <c r="I81" s="53">
        <v>4.22816E7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50">
        <v>12.0</v>
      </c>
      <c r="C82" s="51">
        <v>43444.0</v>
      </c>
      <c r="D82" s="52">
        <v>165.0</v>
      </c>
      <c r="E82" s="52">
        <v>170.089996</v>
      </c>
      <c r="F82" s="52">
        <v>163.330002</v>
      </c>
      <c r="G82" s="52">
        <v>169.600006</v>
      </c>
      <c r="H82" s="52">
        <v>167.591125</v>
      </c>
      <c r="I82" s="53">
        <v>6.2026E7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50">
        <v>12.0</v>
      </c>
      <c r="C83" s="51">
        <v>43445.0</v>
      </c>
      <c r="D83" s="52">
        <v>171.660004</v>
      </c>
      <c r="E83" s="52">
        <v>171.789993</v>
      </c>
      <c r="F83" s="52">
        <v>167.0</v>
      </c>
      <c r="G83" s="52">
        <v>168.630005</v>
      </c>
      <c r="H83" s="52">
        <v>166.632614</v>
      </c>
      <c r="I83" s="53">
        <v>4.72817E7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50">
        <v>12.0</v>
      </c>
      <c r="C84" s="51">
        <v>43446.0</v>
      </c>
      <c r="D84" s="52">
        <v>170.399994</v>
      </c>
      <c r="E84" s="52">
        <v>171.919998</v>
      </c>
      <c r="F84" s="52">
        <v>169.020004</v>
      </c>
      <c r="G84" s="52">
        <v>169.100006</v>
      </c>
      <c r="H84" s="52">
        <v>167.097046</v>
      </c>
      <c r="I84" s="53">
        <v>3.56277E7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50">
        <v>12.0</v>
      </c>
      <c r="C85" s="51">
        <v>43447.0</v>
      </c>
      <c r="D85" s="52">
        <v>170.490005</v>
      </c>
      <c r="E85" s="52">
        <v>172.570007</v>
      </c>
      <c r="F85" s="52">
        <v>169.550003</v>
      </c>
      <c r="G85" s="52">
        <v>170.949997</v>
      </c>
      <c r="H85" s="52">
        <v>168.925125</v>
      </c>
      <c r="I85" s="53">
        <v>3.18986E7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50">
        <v>12.0</v>
      </c>
      <c r="C86" s="51">
        <v>43448.0</v>
      </c>
      <c r="D86" s="52">
        <v>169.0</v>
      </c>
      <c r="E86" s="52">
        <v>169.080002</v>
      </c>
      <c r="F86" s="52">
        <v>165.279999</v>
      </c>
      <c r="G86" s="52">
        <v>165.479996</v>
      </c>
      <c r="H86" s="52">
        <v>163.519913</v>
      </c>
      <c r="I86" s="53">
        <v>4.07037E7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50">
        <v>12.0</v>
      </c>
      <c r="C87" s="51">
        <v>43451.0</v>
      </c>
      <c r="D87" s="52">
        <v>165.449997</v>
      </c>
      <c r="E87" s="52">
        <v>168.350006</v>
      </c>
      <c r="F87" s="52">
        <v>162.729996</v>
      </c>
      <c r="G87" s="52">
        <v>163.940002</v>
      </c>
      <c r="H87" s="52">
        <v>161.998169</v>
      </c>
      <c r="I87" s="53">
        <v>4.42879E7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50">
        <v>12.0</v>
      </c>
      <c r="C88" s="51">
        <v>43452.0</v>
      </c>
      <c r="D88" s="52">
        <v>165.380005</v>
      </c>
      <c r="E88" s="52">
        <v>167.529999</v>
      </c>
      <c r="F88" s="52">
        <v>164.389999</v>
      </c>
      <c r="G88" s="52">
        <v>166.070007</v>
      </c>
      <c r="H88" s="52">
        <v>164.102936</v>
      </c>
      <c r="I88" s="53">
        <v>3.38415E7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50">
        <v>12.0</v>
      </c>
      <c r="C89" s="51">
        <v>43453.0</v>
      </c>
      <c r="D89" s="52">
        <v>166.0</v>
      </c>
      <c r="E89" s="52">
        <v>167.449997</v>
      </c>
      <c r="F89" s="52">
        <v>159.089996</v>
      </c>
      <c r="G89" s="52">
        <v>160.889999</v>
      </c>
      <c r="H89" s="52">
        <v>158.984299</v>
      </c>
      <c r="I89" s="53">
        <v>4.90473E7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50">
        <v>12.0</v>
      </c>
      <c r="C90" s="51">
        <v>43454.0</v>
      </c>
      <c r="D90" s="52">
        <v>160.399994</v>
      </c>
      <c r="E90" s="52">
        <v>162.110001</v>
      </c>
      <c r="F90" s="52">
        <v>155.300003</v>
      </c>
      <c r="G90" s="52">
        <v>156.830002</v>
      </c>
      <c r="H90" s="52">
        <v>154.972397</v>
      </c>
      <c r="I90" s="53">
        <v>6.4773E7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50">
        <v>12.0</v>
      </c>
      <c r="C91" s="51">
        <v>43455.0</v>
      </c>
      <c r="D91" s="52">
        <v>156.860001</v>
      </c>
      <c r="E91" s="52">
        <v>158.160004</v>
      </c>
      <c r="F91" s="52">
        <v>149.630005</v>
      </c>
      <c r="G91" s="52">
        <v>150.729996</v>
      </c>
      <c r="H91" s="52">
        <v>148.944626</v>
      </c>
      <c r="I91" s="53">
        <v>9.57446E7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50">
        <v>12.0</v>
      </c>
      <c r="C92" s="51">
        <v>43458.0</v>
      </c>
      <c r="D92" s="52">
        <v>148.149994</v>
      </c>
      <c r="E92" s="52">
        <v>151.550003</v>
      </c>
      <c r="F92" s="52">
        <v>146.589996</v>
      </c>
      <c r="G92" s="52">
        <v>146.830002</v>
      </c>
      <c r="H92" s="52">
        <v>145.090836</v>
      </c>
      <c r="I92" s="53">
        <v>3.71692E7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50">
        <v>12.0</v>
      </c>
      <c r="C93" s="51">
        <v>43460.0</v>
      </c>
      <c r="D93" s="52">
        <v>148.300003</v>
      </c>
      <c r="E93" s="52">
        <v>157.229996</v>
      </c>
      <c r="F93" s="52">
        <v>146.720001</v>
      </c>
      <c r="G93" s="52">
        <v>157.169998</v>
      </c>
      <c r="H93" s="52">
        <v>155.30835</v>
      </c>
      <c r="I93" s="53">
        <v>5.85825E7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50">
        <v>12.0</v>
      </c>
      <c r="C94" s="51">
        <v>43461.0</v>
      </c>
      <c r="D94" s="52">
        <v>155.839996</v>
      </c>
      <c r="E94" s="52">
        <v>156.770004</v>
      </c>
      <c r="F94" s="52">
        <v>150.070007</v>
      </c>
      <c r="G94" s="52">
        <v>156.149994</v>
      </c>
      <c r="H94" s="52">
        <v>154.300446</v>
      </c>
      <c r="I94" s="53">
        <v>5.31171E7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50">
        <v>12.0</v>
      </c>
      <c r="C95" s="51">
        <v>43462.0</v>
      </c>
      <c r="D95" s="52">
        <v>157.5</v>
      </c>
      <c r="E95" s="52">
        <v>158.520004</v>
      </c>
      <c r="F95" s="52">
        <v>154.550003</v>
      </c>
      <c r="G95" s="52">
        <v>156.229996</v>
      </c>
      <c r="H95" s="52">
        <v>154.379486</v>
      </c>
      <c r="I95" s="53">
        <v>4.22914E7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7"/>
      <c r="B96" s="50">
        <v>12.0</v>
      </c>
      <c r="C96" s="51">
        <v>43465.0</v>
      </c>
      <c r="D96" s="52">
        <v>158.529999</v>
      </c>
      <c r="E96" s="52">
        <v>159.360001</v>
      </c>
      <c r="F96" s="52">
        <v>156.479996</v>
      </c>
      <c r="G96" s="52">
        <v>157.740005</v>
      </c>
      <c r="H96" s="52">
        <v>155.871613</v>
      </c>
      <c r="I96" s="53">
        <v>3.50035E7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8">
        <v>2019.0</v>
      </c>
      <c r="B97" s="54">
        <v>1.0</v>
      </c>
      <c r="C97" s="55">
        <v>43467.0</v>
      </c>
      <c r="D97" s="56">
        <v>154.889999</v>
      </c>
      <c r="E97" s="56">
        <v>158.850006</v>
      </c>
      <c r="F97" s="56">
        <v>154.229996</v>
      </c>
      <c r="G97" s="56">
        <v>157.919998</v>
      </c>
      <c r="H97" s="56">
        <v>156.049484</v>
      </c>
      <c r="I97" s="57">
        <v>3.70397E7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54">
        <v>1.0</v>
      </c>
      <c r="C98" s="55">
        <v>43468.0</v>
      </c>
      <c r="D98" s="56">
        <v>143.979996</v>
      </c>
      <c r="E98" s="56">
        <v>145.720001</v>
      </c>
      <c r="F98" s="56">
        <v>142.0</v>
      </c>
      <c r="G98" s="56">
        <v>142.190002</v>
      </c>
      <c r="H98" s="56">
        <v>140.505798</v>
      </c>
      <c r="I98" s="57">
        <v>9.13122E7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54">
        <v>1.0</v>
      </c>
      <c r="C99" s="55">
        <v>43469.0</v>
      </c>
      <c r="D99" s="56">
        <v>144.529999</v>
      </c>
      <c r="E99" s="56">
        <v>148.550003</v>
      </c>
      <c r="F99" s="56">
        <v>143.800003</v>
      </c>
      <c r="G99" s="56">
        <v>148.259995</v>
      </c>
      <c r="H99" s="56">
        <v>146.503891</v>
      </c>
      <c r="I99" s="57">
        <v>5.86071E7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54">
        <v>1.0</v>
      </c>
      <c r="C100" s="55">
        <v>43472.0</v>
      </c>
      <c r="D100" s="56">
        <v>148.699997</v>
      </c>
      <c r="E100" s="56">
        <v>148.830002</v>
      </c>
      <c r="F100" s="56">
        <v>145.899994</v>
      </c>
      <c r="G100" s="56">
        <v>147.929993</v>
      </c>
      <c r="H100" s="56">
        <v>146.177811</v>
      </c>
      <c r="I100" s="57">
        <v>5.47778E7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54">
        <v>1.0</v>
      </c>
      <c r="C101" s="55">
        <v>43473.0</v>
      </c>
      <c r="D101" s="56">
        <v>149.559998</v>
      </c>
      <c r="E101" s="56">
        <v>151.820007</v>
      </c>
      <c r="F101" s="56">
        <v>148.520004</v>
      </c>
      <c r="G101" s="56">
        <v>150.75</v>
      </c>
      <c r="H101" s="56">
        <v>148.964386</v>
      </c>
      <c r="I101" s="57">
        <v>4.10253E7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54">
        <v>1.0</v>
      </c>
      <c r="C102" s="55">
        <v>43474.0</v>
      </c>
      <c r="D102" s="56">
        <v>151.289993</v>
      </c>
      <c r="E102" s="56">
        <v>154.529999</v>
      </c>
      <c r="F102" s="56">
        <v>149.630005</v>
      </c>
      <c r="G102" s="56">
        <v>153.309998</v>
      </c>
      <c r="H102" s="56">
        <v>151.494064</v>
      </c>
      <c r="I102" s="57">
        <v>4.50991E7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54">
        <v>1.0</v>
      </c>
      <c r="C103" s="55">
        <v>43475.0</v>
      </c>
      <c r="D103" s="56">
        <v>152.5</v>
      </c>
      <c r="E103" s="56">
        <v>153.970001</v>
      </c>
      <c r="F103" s="56">
        <v>150.860001</v>
      </c>
      <c r="G103" s="56">
        <v>153.800003</v>
      </c>
      <c r="H103" s="56">
        <v>151.978271</v>
      </c>
      <c r="I103" s="57">
        <v>3.57807E7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54">
        <v>1.0</v>
      </c>
      <c r="C104" s="55">
        <v>43476.0</v>
      </c>
      <c r="D104" s="56">
        <v>152.880005</v>
      </c>
      <c r="E104" s="56">
        <v>153.699997</v>
      </c>
      <c r="F104" s="56">
        <v>151.509995</v>
      </c>
      <c r="G104" s="56">
        <v>152.289993</v>
      </c>
      <c r="H104" s="56">
        <v>150.48616</v>
      </c>
      <c r="I104" s="57">
        <v>2.70232E7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54">
        <v>1.0</v>
      </c>
      <c r="C105" s="55">
        <v>43479.0</v>
      </c>
      <c r="D105" s="56">
        <v>150.850006</v>
      </c>
      <c r="E105" s="56">
        <v>151.270004</v>
      </c>
      <c r="F105" s="56">
        <v>149.220001</v>
      </c>
      <c r="G105" s="56">
        <v>150.0</v>
      </c>
      <c r="H105" s="56">
        <v>148.223282</v>
      </c>
      <c r="I105" s="57">
        <v>3.24392E7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54">
        <v>1.0</v>
      </c>
      <c r="C106" s="55">
        <v>43480.0</v>
      </c>
      <c r="D106" s="56">
        <v>150.270004</v>
      </c>
      <c r="E106" s="56">
        <v>153.389999</v>
      </c>
      <c r="F106" s="56">
        <v>150.050003</v>
      </c>
      <c r="G106" s="56">
        <v>153.070007</v>
      </c>
      <c r="H106" s="56">
        <v>151.256927</v>
      </c>
      <c r="I106" s="57">
        <v>2.87109E7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54">
        <v>1.0</v>
      </c>
      <c r="C107" s="55">
        <v>43481.0</v>
      </c>
      <c r="D107" s="56">
        <v>153.080002</v>
      </c>
      <c r="E107" s="56">
        <v>155.880005</v>
      </c>
      <c r="F107" s="56">
        <v>153.0</v>
      </c>
      <c r="G107" s="56">
        <v>154.940002</v>
      </c>
      <c r="H107" s="56">
        <v>153.104782</v>
      </c>
      <c r="I107" s="57">
        <v>3.05697E7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54">
        <v>1.0</v>
      </c>
      <c r="C108" s="55">
        <v>43482.0</v>
      </c>
      <c r="D108" s="56">
        <v>154.199997</v>
      </c>
      <c r="E108" s="56">
        <v>157.660004</v>
      </c>
      <c r="F108" s="56">
        <v>153.259995</v>
      </c>
      <c r="G108" s="56">
        <v>155.860001</v>
      </c>
      <c r="H108" s="56">
        <v>154.013885</v>
      </c>
      <c r="I108" s="57">
        <v>2.98212E7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54">
        <v>1.0</v>
      </c>
      <c r="C109" s="55">
        <v>43483.0</v>
      </c>
      <c r="D109" s="56">
        <v>157.5</v>
      </c>
      <c r="E109" s="56">
        <v>157.880005</v>
      </c>
      <c r="F109" s="56">
        <v>155.979996</v>
      </c>
      <c r="G109" s="56">
        <v>156.820007</v>
      </c>
      <c r="H109" s="56">
        <v>154.962494</v>
      </c>
      <c r="I109" s="57">
        <v>3.3751E7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54">
        <v>1.0</v>
      </c>
      <c r="C110" s="55">
        <v>43487.0</v>
      </c>
      <c r="D110" s="56">
        <v>156.410004</v>
      </c>
      <c r="E110" s="56">
        <v>156.729996</v>
      </c>
      <c r="F110" s="56">
        <v>152.619995</v>
      </c>
      <c r="G110" s="56">
        <v>153.300003</v>
      </c>
      <c r="H110" s="56">
        <v>151.484207</v>
      </c>
      <c r="I110" s="57">
        <v>3.0394E7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54">
        <v>1.0</v>
      </c>
      <c r="C111" s="55">
        <v>43488.0</v>
      </c>
      <c r="D111" s="56">
        <v>154.149994</v>
      </c>
      <c r="E111" s="56">
        <v>155.139999</v>
      </c>
      <c r="F111" s="56">
        <v>151.699997</v>
      </c>
      <c r="G111" s="56">
        <v>153.919998</v>
      </c>
      <c r="H111" s="56">
        <v>152.096848</v>
      </c>
      <c r="I111" s="57">
        <v>2.31306E7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54">
        <v>1.0</v>
      </c>
      <c r="C112" s="55">
        <v>43489.0</v>
      </c>
      <c r="D112" s="56">
        <v>154.110001</v>
      </c>
      <c r="E112" s="56">
        <v>154.479996</v>
      </c>
      <c r="F112" s="56">
        <v>151.740005</v>
      </c>
      <c r="G112" s="56">
        <v>152.699997</v>
      </c>
      <c r="H112" s="56">
        <v>150.891296</v>
      </c>
      <c r="I112" s="57">
        <v>2.54415E7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54">
        <v>1.0</v>
      </c>
      <c r="C113" s="55">
        <v>43490.0</v>
      </c>
      <c r="D113" s="56">
        <v>155.479996</v>
      </c>
      <c r="E113" s="56">
        <v>158.130005</v>
      </c>
      <c r="F113" s="56">
        <v>154.320007</v>
      </c>
      <c r="G113" s="56">
        <v>157.759995</v>
      </c>
      <c r="H113" s="56">
        <v>155.891357</v>
      </c>
      <c r="I113" s="57">
        <v>3.35355E7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54">
        <v>1.0</v>
      </c>
      <c r="C114" s="55">
        <v>43493.0</v>
      </c>
      <c r="D114" s="56">
        <v>155.789993</v>
      </c>
      <c r="E114" s="56">
        <v>156.330002</v>
      </c>
      <c r="F114" s="56">
        <v>153.660004</v>
      </c>
      <c r="G114" s="56">
        <v>156.300003</v>
      </c>
      <c r="H114" s="56">
        <v>154.448654</v>
      </c>
      <c r="I114" s="57">
        <v>2.61921E7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54">
        <v>1.0</v>
      </c>
      <c r="C115" s="55">
        <v>43494.0</v>
      </c>
      <c r="D115" s="56">
        <v>156.25</v>
      </c>
      <c r="E115" s="56">
        <v>158.130005</v>
      </c>
      <c r="F115" s="56">
        <v>154.110001</v>
      </c>
      <c r="G115" s="56">
        <v>154.679993</v>
      </c>
      <c r="H115" s="56">
        <v>152.847839</v>
      </c>
      <c r="I115" s="57">
        <v>4.15872E7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54">
        <v>1.0</v>
      </c>
      <c r="C116" s="55">
        <v>43495.0</v>
      </c>
      <c r="D116" s="56">
        <v>163.25</v>
      </c>
      <c r="E116" s="56">
        <v>166.149994</v>
      </c>
      <c r="F116" s="56">
        <v>160.229996</v>
      </c>
      <c r="G116" s="56">
        <v>165.25</v>
      </c>
      <c r="H116" s="56">
        <v>163.292648</v>
      </c>
      <c r="I116" s="57">
        <v>6.11098E7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54">
        <v>1.0</v>
      </c>
      <c r="C117" s="55">
        <v>43496.0</v>
      </c>
      <c r="D117" s="56">
        <v>166.110001</v>
      </c>
      <c r="E117" s="56">
        <v>169.0</v>
      </c>
      <c r="F117" s="56">
        <v>164.559998</v>
      </c>
      <c r="G117" s="56">
        <v>166.440002</v>
      </c>
      <c r="H117" s="56">
        <v>164.468567</v>
      </c>
      <c r="I117" s="57">
        <v>4.07396E7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58">
        <v>2.0</v>
      </c>
      <c r="C118" s="59">
        <v>43497.0</v>
      </c>
      <c r="D118" s="60">
        <v>166.960007</v>
      </c>
      <c r="E118" s="60">
        <v>168.979996</v>
      </c>
      <c r="F118" s="60">
        <v>165.929993</v>
      </c>
      <c r="G118" s="60">
        <v>166.520004</v>
      </c>
      <c r="H118" s="60">
        <v>164.547607</v>
      </c>
      <c r="I118" s="61">
        <v>3.26681E7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58">
        <v>2.0</v>
      </c>
      <c r="C119" s="59">
        <v>43500.0</v>
      </c>
      <c r="D119" s="60">
        <v>167.410004</v>
      </c>
      <c r="E119" s="60">
        <v>171.660004</v>
      </c>
      <c r="F119" s="60">
        <v>167.279999</v>
      </c>
      <c r="G119" s="60">
        <v>171.25</v>
      </c>
      <c r="H119" s="60">
        <v>169.221588</v>
      </c>
      <c r="I119" s="61">
        <v>3.14955E7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58">
        <v>2.0</v>
      </c>
      <c r="C120" s="59">
        <v>43501.0</v>
      </c>
      <c r="D120" s="60">
        <v>172.860001</v>
      </c>
      <c r="E120" s="60">
        <v>175.080002</v>
      </c>
      <c r="F120" s="60">
        <v>172.350006</v>
      </c>
      <c r="G120" s="60">
        <v>174.179993</v>
      </c>
      <c r="H120" s="60">
        <v>172.116867</v>
      </c>
      <c r="I120" s="61">
        <v>3.61016E7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58">
        <v>2.0</v>
      </c>
      <c r="C121" s="59">
        <v>43502.0</v>
      </c>
      <c r="D121" s="60">
        <v>174.649994</v>
      </c>
      <c r="E121" s="60">
        <v>175.570007</v>
      </c>
      <c r="F121" s="60">
        <v>172.850006</v>
      </c>
      <c r="G121" s="60">
        <v>174.240005</v>
      </c>
      <c r="H121" s="60">
        <v>172.176163</v>
      </c>
      <c r="I121" s="61">
        <v>2.82396E7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58">
        <v>2.0</v>
      </c>
      <c r="C122" s="59">
        <v>43503.0</v>
      </c>
      <c r="D122" s="60">
        <v>172.399994</v>
      </c>
      <c r="E122" s="60">
        <v>173.940002</v>
      </c>
      <c r="F122" s="60">
        <v>170.339996</v>
      </c>
      <c r="G122" s="60">
        <v>170.940002</v>
      </c>
      <c r="H122" s="60">
        <v>168.915268</v>
      </c>
      <c r="I122" s="61">
        <v>3.17417E7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58">
        <v>2.0</v>
      </c>
      <c r="C123" s="59">
        <v>43504.0</v>
      </c>
      <c r="D123" s="60">
        <v>168.990005</v>
      </c>
      <c r="E123" s="60">
        <v>170.660004</v>
      </c>
      <c r="F123" s="60">
        <v>168.419998</v>
      </c>
      <c r="G123" s="60">
        <v>170.410004</v>
      </c>
      <c r="H123" s="60">
        <v>169.113724</v>
      </c>
      <c r="I123" s="61">
        <v>2.382E7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58">
        <v>2.0</v>
      </c>
      <c r="C124" s="59">
        <v>43507.0</v>
      </c>
      <c r="D124" s="60">
        <v>171.050003</v>
      </c>
      <c r="E124" s="60">
        <v>171.210007</v>
      </c>
      <c r="F124" s="60">
        <v>169.25</v>
      </c>
      <c r="G124" s="60">
        <v>169.429993</v>
      </c>
      <c r="H124" s="60">
        <v>168.141174</v>
      </c>
      <c r="I124" s="61">
        <v>2.09934E7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58">
        <v>2.0</v>
      </c>
      <c r="C125" s="59">
        <v>43508.0</v>
      </c>
      <c r="D125" s="60">
        <v>170.100006</v>
      </c>
      <c r="E125" s="60">
        <v>171.0</v>
      </c>
      <c r="F125" s="60">
        <v>169.699997</v>
      </c>
      <c r="G125" s="60">
        <v>170.889999</v>
      </c>
      <c r="H125" s="60">
        <v>169.590073</v>
      </c>
      <c r="I125" s="61">
        <v>2.22835E7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58">
        <v>2.0</v>
      </c>
      <c r="C126" s="59">
        <v>43509.0</v>
      </c>
      <c r="D126" s="60">
        <v>171.389999</v>
      </c>
      <c r="E126" s="60">
        <v>172.479996</v>
      </c>
      <c r="F126" s="60">
        <v>169.919998</v>
      </c>
      <c r="G126" s="60">
        <v>170.179993</v>
      </c>
      <c r="H126" s="60">
        <v>168.885468</v>
      </c>
      <c r="I126" s="61">
        <v>2.24902E7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58">
        <v>2.0</v>
      </c>
      <c r="C127" s="59">
        <v>43510.0</v>
      </c>
      <c r="D127" s="60">
        <v>169.710007</v>
      </c>
      <c r="E127" s="60">
        <v>171.259995</v>
      </c>
      <c r="F127" s="60">
        <v>169.380005</v>
      </c>
      <c r="G127" s="60">
        <v>170.800003</v>
      </c>
      <c r="H127" s="60">
        <v>169.500778</v>
      </c>
      <c r="I127" s="61">
        <v>2.18357E7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58">
        <v>2.0</v>
      </c>
      <c r="C128" s="59">
        <v>43511.0</v>
      </c>
      <c r="D128" s="60">
        <v>171.25</v>
      </c>
      <c r="E128" s="60">
        <v>171.699997</v>
      </c>
      <c r="F128" s="60">
        <v>169.75</v>
      </c>
      <c r="G128" s="60">
        <v>170.419998</v>
      </c>
      <c r="H128" s="60">
        <v>169.123657</v>
      </c>
      <c r="I128" s="61">
        <v>2.46268E7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58">
        <v>2.0</v>
      </c>
      <c r="C129" s="59">
        <v>43515.0</v>
      </c>
      <c r="D129" s="60">
        <v>169.710007</v>
      </c>
      <c r="E129" s="60">
        <v>171.440002</v>
      </c>
      <c r="F129" s="60">
        <v>169.490005</v>
      </c>
      <c r="G129" s="60">
        <v>170.929993</v>
      </c>
      <c r="H129" s="60">
        <v>169.629761</v>
      </c>
      <c r="I129" s="61">
        <v>1.89728E7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58">
        <v>2.0</v>
      </c>
      <c r="C130" s="59">
        <v>43516.0</v>
      </c>
      <c r="D130" s="60">
        <v>171.190002</v>
      </c>
      <c r="E130" s="60">
        <v>173.320007</v>
      </c>
      <c r="F130" s="60">
        <v>170.990005</v>
      </c>
      <c r="G130" s="60">
        <v>172.029999</v>
      </c>
      <c r="H130" s="60">
        <v>170.721405</v>
      </c>
      <c r="I130" s="61">
        <v>2.61144E7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58">
        <v>2.0</v>
      </c>
      <c r="C131" s="59">
        <v>43517.0</v>
      </c>
      <c r="D131" s="60">
        <v>171.800003</v>
      </c>
      <c r="E131" s="60">
        <v>172.369995</v>
      </c>
      <c r="F131" s="60">
        <v>170.300003</v>
      </c>
      <c r="G131" s="60">
        <v>171.059998</v>
      </c>
      <c r="H131" s="60">
        <v>169.758789</v>
      </c>
      <c r="I131" s="61">
        <v>1.72497E7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58">
        <v>2.0</v>
      </c>
      <c r="C132" s="59">
        <v>43518.0</v>
      </c>
      <c r="D132" s="60">
        <v>171.580002</v>
      </c>
      <c r="E132" s="60">
        <v>173.0</v>
      </c>
      <c r="F132" s="60">
        <v>171.380005</v>
      </c>
      <c r="G132" s="60">
        <v>172.970001</v>
      </c>
      <c r="H132" s="60">
        <v>171.654251</v>
      </c>
      <c r="I132" s="61">
        <v>1.89132E7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58">
        <v>2.0</v>
      </c>
      <c r="C133" s="59">
        <v>43521.0</v>
      </c>
      <c r="D133" s="60">
        <v>174.160004</v>
      </c>
      <c r="E133" s="60">
        <v>175.869995</v>
      </c>
      <c r="F133" s="60">
        <v>173.949997</v>
      </c>
      <c r="G133" s="60">
        <v>174.229996</v>
      </c>
      <c r="H133" s="60">
        <v>172.904678</v>
      </c>
      <c r="I133" s="61">
        <v>2.18734E7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58">
        <v>2.0</v>
      </c>
      <c r="C134" s="59">
        <v>43522.0</v>
      </c>
      <c r="D134" s="60">
        <v>173.710007</v>
      </c>
      <c r="E134" s="60">
        <v>175.300003</v>
      </c>
      <c r="F134" s="60">
        <v>173.169998</v>
      </c>
      <c r="G134" s="60">
        <v>174.330002</v>
      </c>
      <c r="H134" s="60">
        <v>173.003922</v>
      </c>
      <c r="I134" s="61">
        <v>1.70702E7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58">
        <v>2.0</v>
      </c>
      <c r="C135" s="59">
        <v>43523.0</v>
      </c>
      <c r="D135" s="60">
        <v>173.210007</v>
      </c>
      <c r="E135" s="60">
        <v>175.0</v>
      </c>
      <c r="F135" s="60">
        <v>172.729996</v>
      </c>
      <c r="G135" s="60">
        <v>174.869995</v>
      </c>
      <c r="H135" s="60">
        <v>173.539795</v>
      </c>
      <c r="I135" s="61">
        <v>2.78354E7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58">
        <v>2.0</v>
      </c>
      <c r="C136" s="59">
        <v>43524.0</v>
      </c>
      <c r="D136" s="60">
        <v>174.320007</v>
      </c>
      <c r="E136" s="60">
        <v>174.910004</v>
      </c>
      <c r="F136" s="60">
        <v>172.919998</v>
      </c>
      <c r="G136" s="60">
        <v>173.149994</v>
      </c>
      <c r="H136" s="60">
        <v>171.832886</v>
      </c>
      <c r="I136" s="61">
        <v>2.82154E7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62">
        <v>3.0</v>
      </c>
      <c r="C137" s="63">
        <v>43525.0</v>
      </c>
      <c r="D137" s="64">
        <v>174.279999</v>
      </c>
      <c r="E137" s="64">
        <v>175.149994</v>
      </c>
      <c r="F137" s="64">
        <v>172.889999</v>
      </c>
      <c r="G137" s="64">
        <v>174.970001</v>
      </c>
      <c r="H137" s="64">
        <v>173.639038</v>
      </c>
      <c r="I137" s="65">
        <v>2.58862E7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62">
        <v>3.0</v>
      </c>
      <c r="C138" s="63">
        <v>43528.0</v>
      </c>
      <c r="D138" s="64">
        <v>175.690002</v>
      </c>
      <c r="E138" s="64">
        <v>177.75</v>
      </c>
      <c r="F138" s="64">
        <v>173.970001</v>
      </c>
      <c r="G138" s="64">
        <v>175.850006</v>
      </c>
      <c r="H138" s="64">
        <v>174.51236</v>
      </c>
      <c r="I138" s="65">
        <v>2.74362E7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62">
        <v>3.0</v>
      </c>
      <c r="C139" s="63">
        <v>43529.0</v>
      </c>
      <c r="D139" s="64">
        <v>175.940002</v>
      </c>
      <c r="E139" s="64">
        <v>176.0</v>
      </c>
      <c r="F139" s="64">
        <v>174.539993</v>
      </c>
      <c r="G139" s="64">
        <v>175.529999</v>
      </c>
      <c r="H139" s="64">
        <v>174.194778</v>
      </c>
      <c r="I139" s="65">
        <v>1.97374E7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62">
        <v>3.0</v>
      </c>
      <c r="C140" s="63">
        <v>43530.0</v>
      </c>
      <c r="D140" s="64">
        <v>174.669998</v>
      </c>
      <c r="E140" s="64">
        <v>175.490005</v>
      </c>
      <c r="F140" s="64">
        <v>173.940002</v>
      </c>
      <c r="G140" s="64">
        <v>174.520004</v>
      </c>
      <c r="H140" s="64">
        <v>173.192474</v>
      </c>
      <c r="I140" s="65">
        <v>2.08104E7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62">
        <v>3.0</v>
      </c>
      <c r="C141" s="63">
        <v>43531.0</v>
      </c>
      <c r="D141" s="64">
        <v>173.869995</v>
      </c>
      <c r="E141" s="64">
        <v>174.440002</v>
      </c>
      <c r="F141" s="64">
        <v>172.020004</v>
      </c>
      <c r="G141" s="64">
        <v>172.5</v>
      </c>
      <c r="H141" s="64">
        <v>171.187836</v>
      </c>
      <c r="I141" s="65">
        <v>2.47964E7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62">
        <v>3.0</v>
      </c>
      <c r="C142" s="63">
        <v>43532.0</v>
      </c>
      <c r="D142" s="64">
        <v>170.320007</v>
      </c>
      <c r="E142" s="64">
        <v>173.070007</v>
      </c>
      <c r="F142" s="64">
        <v>169.5</v>
      </c>
      <c r="G142" s="64">
        <v>172.910004</v>
      </c>
      <c r="H142" s="64">
        <v>171.594711</v>
      </c>
      <c r="I142" s="65">
        <v>2.39994E7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62">
        <v>3.0</v>
      </c>
      <c r="C143" s="63">
        <v>43535.0</v>
      </c>
      <c r="D143" s="64">
        <v>175.490005</v>
      </c>
      <c r="E143" s="64">
        <v>179.119995</v>
      </c>
      <c r="F143" s="64">
        <v>175.350006</v>
      </c>
      <c r="G143" s="64">
        <v>178.899994</v>
      </c>
      <c r="H143" s="64">
        <v>177.539139</v>
      </c>
      <c r="I143" s="65">
        <v>3.2011E7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62">
        <v>3.0</v>
      </c>
      <c r="C144" s="63">
        <v>43536.0</v>
      </c>
      <c r="D144" s="64">
        <v>180.0</v>
      </c>
      <c r="E144" s="64">
        <v>182.669998</v>
      </c>
      <c r="F144" s="64">
        <v>179.369995</v>
      </c>
      <c r="G144" s="64">
        <v>180.910004</v>
      </c>
      <c r="H144" s="64">
        <v>179.533875</v>
      </c>
      <c r="I144" s="65">
        <v>3.24676E7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62">
        <v>3.0</v>
      </c>
      <c r="C145" s="63">
        <v>43537.0</v>
      </c>
      <c r="D145" s="64">
        <v>182.25</v>
      </c>
      <c r="E145" s="64">
        <v>183.300003</v>
      </c>
      <c r="F145" s="64">
        <v>180.919998</v>
      </c>
      <c r="G145" s="64">
        <v>181.710007</v>
      </c>
      <c r="H145" s="64">
        <v>180.327774</v>
      </c>
      <c r="I145" s="65">
        <v>3.10325E7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62">
        <v>3.0</v>
      </c>
      <c r="C146" s="63">
        <v>43538.0</v>
      </c>
      <c r="D146" s="64">
        <v>183.899994</v>
      </c>
      <c r="E146" s="64">
        <v>184.100006</v>
      </c>
      <c r="F146" s="64">
        <v>182.559998</v>
      </c>
      <c r="G146" s="64">
        <v>183.729996</v>
      </c>
      <c r="H146" s="64">
        <v>182.332397</v>
      </c>
      <c r="I146" s="65">
        <v>2.35795E7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62">
        <v>3.0</v>
      </c>
      <c r="C147" s="63">
        <v>43539.0</v>
      </c>
      <c r="D147" s="64">
        <v>184.850006</v>
      </c>
      <c r="E147" s="64">
        <v>187.330002</v>
      </c>
      <c r="F147" s="64">
        <v>183.740005</v>
      </c>
      <c r="G147" s="64">
        <v>186.119995</v>
      </c>
      <c r="H147" s="64">
        <v>184.704224</v>
      </c>
      <c r="I147" s="65">
        <v>3.90429E7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62">
        <v>3.0</v>
      </c>
      <c r="C148" s="63">
        <v>43542.0</v>
      </c>
      <c r="D148" s="64">
        <v>185.800003</v>
      </c>
      <c r="E148" s="64">
        <v>188.389999</v>
      </c>
      <c r="F148" s="64">
        <v>185.789993</v>
      </c>
      <c r="G148" s="64">
        <v>188.020004</v>
      </c>
      <c r="H148" s="64">
        <v>186.589783</v>
      </c>
      <c r="I148" s="65">
        <v>2.62198E7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62">
        <v>3.0</v>
      </c>
      <c r="C149" s="63">
        <v>43543.0</v>
      </c>
      <c r="D149" s="64">
        <v>188.350006</v>
      </c>
      <c r="E149" s="64">
        <v>188.990005</v>
      </c>
      <c r="F149" s="64">
        <v>185.919998</v>
      </c>
      <c r="G149" s="64">
        <v>186.529999</v>
      </c>
      <c r="H149" s="64">
        <v>185.111115</v>
      </c>
      <c r="I149" s="65">
        <v>3.16464E7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62">
        <v>3.0</v>
      </c>
      <c r="C150" s="63">
        <v>43544.0</v>
      </c>
      <c r="D150" s="64">
        <v>186.229996</v>
      </c>
      <c r="E150" s="64">
        <v>189.490005</v>
      </c>
      <c r="F150" s="64">
        <v>184.729996</v>
      </c>
      <c r="G150" s="64">
        <v>188.160004</v>
      </c>
      <c r="H150" s="64">
        <v>186.728714</v>
      </c>
      <c r="I150" s="65">
        <v>3.10352E7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62">
        <v>3.0</v>
      </c>
      <c r="C151" s="63">
        <v>43545.0</v>
      </c>
      <c r="D151" s="64">
        <v>190.020004</v>
      </c>
      <c r="E151" s="64">
        <v>196.330002</v>
      </c>
      <c r="F151" s="64">
        <v>189.809998</v>
      </c>
      <c r="G151" s="64">
        <v>195.089996</v>
      </c>
      <c r="H151" s="64">
        <v>193.605988</v>
      </c>
      <c r="I151" s="65">
        <v>5.10342E7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62">
        <v>3.0</v>
      </c>
      <c r="C152" s="63">
        <v>43546.0</v>
      </c>
      <c r="D152" s="64">
        <v>195.339996</v>
      </c>
      <c r="E152" s="64">
        <v>197.690002</v>
      </c>
      <c r="F152" s="64">
        <v>190.779999</v>
      </c>
      <c r="G152" s="64">
        <v>191.050003</v>
      </c>
      <c r="H152" s="64">
        <v>189.596725</v>
      </c>
      <c r="I152" s="65">
        <v>4.24077E7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62">
        <v>3.0</v>
      </c>
      <c r="C153" s="63">
        <v>43549.0</v>
      </c>
      <c r="D153" s="64">
        <v>191.509995</v>
      </c>
      <c r="E153" s="64">
        <v>191.979996</v>
      </c>
      <c r="F153" s="64">
        <v>186.600006</v>
      </c>
      <c r="G153" s="64">
        <v>188.740005</v>
      </c>
      <c r="H153" s="64">
        <v>187.304291</v>
      </c>
      <c r="I153" s="65">
        <v>4.38453E7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62">
        <v>3.0</v>
      </c>
      <c r="C154" s="63">
        <v>43550.0</v>
      </c>
      <c r="D154" s="64">
        <v>191.660004</v>
      </c>
      <c r="E154" s="64">
        <v>192.880005</v>
      </c>
      <c r="F154" s="64">
        <v>184.580002</v>
      </c>
      <c r="G154" s="64">
        <v>186.789993</v>
      </c>
      <c r="H154" s="64">
        <v>185.369125</v>
      </c>
      <c r="I154" s="65">
        <v>4.98005E7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62">
        <v>3.0</v>
      </c>
      <c r="C155" s="63">
        <v>43551.0</v>
      </c>
      <c r="D155" s="64">
        <v>188.75</v>
      </c>
      <c r="E155" s="64">
        <v>189.759995</v>
      </c>
      <c r="F155" s="64">
        <v>186.550003</v>
      </c>
      <c r="G155" s="64">
        <v>188.470001</v>
      </c>
      <c r="H155" s="64">
        <v>187.036346</v>
      </c>
      <c r="I155" s="65">
        <v>2.98484E7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62">
        <v>3.0</v>
      </c>
      <c r="C156" s="63">
        <v>43552.0</v>
      </c>
      <c r="D156" s="64">
        <v>188.949997</v>
      </c>
      <c r="E156" s="64">
        <v>189.559998</v>
      </c>
      <c r="F156" s="64">
        <v>187.529999</v>
      </c>
      <c r="G156" s="64">
        <v>188.720001</v>
      </c>
      <c r="H156" s="64">
        <v>187.284439</v>
      </c>
      <c r="I156" s="65">
        <v>2.07804E7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62">
        <v>3.0</v>
      </c>
      <c r="C157" s="63">
        <v>43553.0</v>
      </c>
      <c r="D157" s="64">
        <v>189.830002</v>
      </c>
      <c r="E157" s="64">
        <v>190.080002</v>
      </c>
      <c r="F157" s="64">
        <v>188.539993</v>
      </c>
      <c r="G157" s="64">
        <v>189.949997</v>
      </c>
      <c r="H157" s="64">
        <v>188.505081</v>
      </c>
      <c r="I157" s="65">
        <v>2.3564E7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66">
        <v>4.0</v>
      </c>
      <c r="C158" s="67">
        <v>43556.0</v>
      </c>
      <c r="D158" s="68">
        <v>191.639999</v>
      </c>
      <c r="E158" s="68">
        <v>191.679993</v>
      </c>
      <c r="F158" s="68">
        <v>188.380005</v>
      </c>
      <c r="G158" s="68">
        <v>191.240005</v>
      </c>
      <c r="H158" s="68">
        <v>189.785278</v>
      </c>
      <c r="I158" s="69">
        <v>2.7862E7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66">
        <v>4.0</v>
      </c>
      <c r="C159" s="67">
        <v>43557.0</v>
      </c>
      <c r="D159" s="68">
        <v>191.089996</v>
      </c>
      <c r="E159" s="68">
        <v>194.460007</v>
      </c>
      <c r="F159" s="68">
        <v>191.050003</v>
      </c>
      <c r="G159" s="68">
        <v>194.020004</v>
      </c>
      <c r="H159" s="68">
        <v>192.544144</v>
      </c>
      <c r="I159" s="69">
        <v>2.27657E7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66">
        <v>4.0</v>
      </c>
      <c r="C160" s="67">
        <v>43558.0</v>
      </c>
      <c r="D160" s="68">
        <v>193.25</v>
      </c>
      <c r="E160" s="68">
        <v>196.5</v>
      </c>
      <c r="F160" s="68">
        <v>193.149994</v>
      </c>
      <c r="G160" s="68">
        <v>195.350006</v>
      </c>
      <c r="H160" s="68">
        <v>193.864029</v>
      </c>
      <c r="I160" s="69">
        <v>2.32718E7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66">
        <v>4.0</v>
      </c>
      <c r="C161" s="67">
        <v>43559.0</v>
      </c>
      <c r="D161" s="68">
        <v>194.789993</v>
      </c>
      <c r="E161" s="68">
        <v>196.369995</v>
      </c>
      <c r="F161" s="68">
        <v>193.139999</v>
      </c>
      <c r="G161" s="68">
        <v>195.690002</v>
      </c>
      <c r="H161" s="68">
        <v>194.201431</v>
      </c>
      <c r="I161" s="69">
        <v>1.91143E7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66">
        <v>4.0</v>
      </c>
      <c r="C162" s="67">
        <v>43560.0</v>
      </c>
      <c r="D162" s="68">
        <v>196.449997</v>
      </c>
      <c r="E162" s="68">
        <v>197.100006</v>
      </c>
      <c r="F162" s="68">
        <v>195.929993</v>
      </c>
      <c r="G162" s="68">
        <v>197.0</v>
      </c>
      <c r="H162" s="68">
        <v>195.501465</v>
      </c>
      <c r="I162" s="69">
        <v>1.85266E7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66">
        <v>4.0</v>
      </c>
      <c r="C163" s="67">
        <v>43563.0</v>
      </c>
      <c r="D163" s="68">
        <v>196.419998</v>
      </c>
      <c r="E163" s="68">
        <v>200.229996</v>
      </c>
      <c r="F163" s="68">
        <v>196.339996</v>
      </c>
      <c r="G163" s="68">
        <v>200.100006</v>
      </c>
      <c r="H163" s="68">
        <v>198.577881</v>
      </c>
      <c r="I163" s="69">
        <v>2.58817E7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66">
        <v>4.0</v>
      </c>
      <c r="C164" s="67">
        <v>43564.0</v>
      </c>
      <c r="D164" s="68">
        <v>200.320007</v>
      </c>
      <c r="E164" s="68">
        <v>202.850006</v>
      </c>
      <c r="F164" s="68">
        <v>199.229996</v>
      </c>
      <c r="G164" s="68">
        <v>199.5</v>
      </c>
      <c r="H164" s="68">
        <v>197.982452</v>
      </c>
      <c r="I164" s="69">
        <v>3.57682E7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66">
        <v>4.0</v>
      </c>
      <c r="C165" s="67">
        <v>43565.0</v>
      </c>
      <c r="D165" s="68">
        <v>198.679993</v>
      </c>
      <c r="E165" s="68">
        <v>200.740005</v>
      </c>
      <c r="F165" s="68">
        <v>198.179993</v>
      </c>
      <c r="G165" s="68">
        <v>200.619995</v>
      </c>
      <c r="H165" s="68">
        <v>199.093918</v>
      </c>
      <c r="I165" s="69">
        <v>2.16953E7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66">
        <v>4.0</v>
      </c>
      <c r="C166" s="67">
        <v>43566.0</v>
      </c>
      <c r="D166" s="68">
        <v>200.850006</v>
      </c>
      <c r="E166" s="68">
        <v>201.0</v>
      </c>
      <c r="F166" s="68">
        <v>198.440002</v>
      </c>
      <c r="G166" s="68">
        <v>198.949997</v>
      </c>
      <c r="H166" s="68">
        <v>197.43663</v>
      </c>
      <c r="I166" s="69">
        <v>2.09008E7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66">
        <v>4.0</v>
      </c>
      <c r="C167" s="67">
        <v>43567.0</v>
      </c>
      <c r="D167" s="68">
        <v>199.199997</v>
      </c>
      <c r="E167" s="68">
        <v>200.139999</v>
      </c>
      <c r="F167" s="68">
        <v>196.210007</v>
      </c>
      <c r="G167" s="68">
        <v>198.869995</v>
      </c>
      <c r="H167" s="68">
        <v>197.357239</v>
      </c>
      <c r="I167" s="69">
        <v>2.77607E7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66">
        <v>4.0</v>
      </c>
      <c r="C168" s="67">
        <v>43570.0</v>
      </c>
      <c r="D168" s="68">
        <v>198.580002</v>
      </c>
      <c r="E168" s="68">
        <v>199.850006</v>
      </c>
      <c r="F168" s="68">
        <v>198.009995</v>
      </c>
      <c r="G168" s="68">
        <v>199.229996</v>
      </c>
      <c r="H168" s="68">
        <v>197.714493</v>
      </c>
      <c r="I168" s="69">
        <v>1.75366E7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66">
        <v>4.0</v>
      </c>
      <c r="C169" s="67">
        <v>43571.0</v>
      </c>
      <c r="D169" s="68">
        <v>199.460007</v>
      </c>
      <c r="E169" s="68">
        <v>201.369995</v>
      </c>
      <c r="F169" s="68">
        <v>198.559998</v>
      </c>
      <c r="G169" s="68">
        <v>199.25</v>
      </c>
      <c r="H169" s="68">
        <v>197.734344</v>
      </c>
      <c r="I169" s="69">
        <v>2.56964E7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66">
        <v>4.0</v>
      </c>
      <c r="C170" s="67">
        <v>43572.0</v>
      </c>
      <c r="D170" s="68">
        <v>199.539993</v>
      </c>
      <c r="E170" s="68">
        <v>203.380005</v>
      </c>
      <c r="F170" s="68">
        <v>198.610001</v>
      </c>
      <c r="G170" s="68">
        <v>203.130005</v>
      </c>
      <c r="H170" s="68">
        <v>201.584839</v>
      </c>
      <c r="I170" s="69">
        <v>2.89068E7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66">
        <v>4.0</v>
      </c>
      <c r="C171" s="67">
        <v>43573.0</v>
      </c>
      <c r="D171" s="68">
        <v>203.119995</v>
      </c>
      <c r="E171" s="68">
        <v>204.149994</v>
      </c>
      <c r="F171" s="68">
        <v>202.520004</v>
      </c>
      <c r="G171" s="68">
        <v>203.860001</v>
      </c>
      <c r="H171" s="68">
        <v>202.309296</v>
      </c>
      <c r="I171" s="69">
        <v>2.41958E7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66">
        <v>4.0</v>
      </c>
      <c r="C172" s="67">
        <v>43577.0</v>
      </c>
      <c r="D172" s="68">
        <v>202.830002</v>
      </c>
      <c r="E172" s="68">
        <v>204.940002</v>
      </c>
      <c r="F172" s="68">
        <v>202.339996</v>
      </c>
      <c r="G172" s="68">
        <v>204.529999</v>
      </c>
      <c r="H172" s="68">
        <v>202.974197</v>
      </c>
      <c r="I172" s="69">
        <v>1.94395E7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66">
        <v>4.0</v>
      </c>
      <c r="C173" s="67">
        <v>43578.0</v>
      </c>
      <c r="D173" s="68">
        <v>204.429993</v>
      </c>
      <c r="E173" s="68">
        <v>207.75</v>
      </c>
      <c r="F173" s="68">
        <v>203.899994</v>
      </c>
      <c r="G173" s="68">
        <v>207.479996</v>
      </c>
      <c r="H173" s="68">
        <v>205.901749</v>
      </c>
      <c r="I173" s="69">
        <v>2.3323E7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66">
        <v>4.0</v>
      </c>
      <c r="C174" s="67">
        <v>43579.0</v>
      </c>
      <c r="D174" s="68">
        <v>207.360001</v>
      </c>
      <c r="E174" s="68">
        <v>208.479996</v>
      </c>
      <c r="F174" s="68">
        <v>207.050003</v>
      </c>
      <c r="G174" s="68">
        <v>207.160004</v>
      </c>
      <c r="H174" s="68">
        <v>205.584183</v>
      </c>
      <c r="I174" s="69">
        <v>1.75406E7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66">
        <v>4.0</v>
      </c>
      <c r="C175" s="67">
        <v>43580.0</v>
      </c>
      <c r="D175" s="68">
        <v>206.830002</v>
      </c>
      <c r="E175" s="68">
        <v>207.759995</v>
      </c>
      <c r="F175" s="68">
        <v>205.119995</v>
      </c>
      <c r="G175" s="68">
        <v>205.279999</v>
      </c>
      <c r="H175" s="68">
        <v>203.718491</v>
      </c>
      <c r="I175" s="69">
        <v>1.85432E7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66">
        <v>4.0</v>
      </c>
      <c r="C176" s="67">
        <v>43581.0</v>
      </c>
      <c r="D176" s="68">
        <v>204.899994</v>
      </c>
      <c r="E176" s="68">
        <v>205.0</v>
      </c>
      <c r="F176" s="68">
        <v>202.119995</v>
      </c>
      <c r="G176" s="68">
        <v>204.300003</v>
      </c>
      <c r="H176" s="68">
        <v>202.745941</v>
      </c>
      <c r="I176" s="69">
        <v>1.86491E7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66">
        <v>4.0</v>
      </c>
      <c r="C177" s="67">
        <v>43584.0</v>
      </c>
      <c r="D177" s="68">
        <v>204.399994</v>
      </c>
      <c r="E177" s="68">
        <v>205.970001</v>
      </c>
      <c r="F177" s="68">
        <v>203.860001</v>
      </c>
      <c r="G177" s="68">
        <v>204.610001</v>
      </c>
      <c r="H177" s="68">
        <v>203.053589</v>
      </c>
      <c r="I177" s="69">
        <v>2.22047E7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66">
        <v>4.0</v>
      </c>
      <c r="C178" s="67">
        <v>43585.0</v>
      </c>
      <c r="D178" s="68">
        <v>203.059998</v>
      </c>
      <c r="E178" s="68">
        <v>203.399994</v>
      </c>
      <c r="F178" s="68">
        <v>199.110001</v>
      </c>
      <c r="G178" s="68">
        <v>200.669998</v>
      </c>
      <c r="H178" s="68">
        <v>199.143539</v>
      </c>
      <c r="I178" s="69">
        <v>4.65349E7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70">
        <v>5.0</v>
      </c>
      <c r="C179" s="71">
        <v>43586.0</v>
      </c>
      <c r="D179" s="72">
        <v>209.880005</v>
      </c>
      <c r="E179" s="72">
        <v>215.309998</v>
      </c>
      <c r="F179" s="72">
        <v>209.229996</v>
      </c>
      <c r="G179" s="72">
        <v>210.520004</v>
      </c>
      <c r="H179" s="72">
        <v>208.918625</v>
      </c>
      <c r="I179" s="73">
        <v>6.48273E7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70">
        <v>5.0</v>
      </c>
      <c r="C180" s="71">
        <v>43587.0</v>
      </c>
      <c r="D180" s="72">
        <v>209.839996</v>
      </c>
      <c r="E180" s="72">
        <v>212.649994</v>
      </c>
      <c r="F180" s="72">
        <v>208.130005</v>
      </c>
      <c r="G180" s="72">
        <v>209.149994</v>
      </c>
      <c r="H180" s="72">
        <v>207.559052</v>
      </c>
      <c r="I180" s="73">
        <v>3.19963E7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70">
        <v>5.0</v>
      </c>
      <c r="C181" s="71">
        <v>43588.0</v>
      </c>
      <c r="D181" s="72">
        <v>210.889999</v>
      </c>
      <c r="E181" s="72">
        <v>211.839996</v>
      </c>
      <c r="F181" s="72">
        <v>210.229996</v>
      </c>
      <c r="G181" s="72">
        <v>211.75</v>
      </c>
      <c r="H181" s="72">
        <v>210.139267</v>
      </c>
      <c r="I181" s="73">
        <v>2.08924E7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70">
        <v>5.0</v>
      </c>
      <c r="C182" s="71">
        <v>43591.0</v>
      </c>
      <c r="D182" s="72">
        <v>204.289993</v>
      </c>
      <c r="E182" s="72">
        <v>208.839996</v>
      </c>
      <c r="F182" s="72">
        <v>203.5</v>
      </c>
      <c r="G182" s="72">
        <v>208.479996</v>
      </c>
      <c r="H182" s="72">
        <v>206.894135</v>
      </c>
      <c r="I182" s="73">
        <v>3.24431E7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70">
        <v>5.0</v>
      </c>
      <c r="C183" s="71">
        <v>43592.0</v>
      </c>
      <c r="D183" s="72">
        <v>205.880005</v>
      </c>
      <c r="E183" s="72">
        <v>207.419998</v>
      </c>
      <c r="F183" s="72">
        <v>200.830002</v>
      </c>
      <c r="G183" s="72">
        <v>202.860001</v>
      </c>
      <c r="H183" s="72">
        <v>201.316895</v>
      </c>
      <c r="I183" s="73">
        <v>3.87637E7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70">
        <v>5.0</v>
      </c>
      <c r="C184" s="71">
        <v>43593.0</v>
      </c>
      <c r="D184" s="72">
        <v>201.899994</v>
      </c>
      <c r="E184" s="72">
        <v>205.339996</v>
      </c>
      <c r="F184" s="72">
        <v>201.75</v>
      </c>
      <c r="G184" s="72">
        <v>202.899994</v>
      </c>
      <c r="H184" s="72">
        <v>201.356583</v>
      </c>
      <c r="I184" s="73">
        <v>2.63395E7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70">
        <v>5.0</v>
      </c>
      <c r="C185" s="71">
        <v>43594.0</v>
      </c>
      <c r="D185" s="72">
        <v>200.399994</v>
      </c>
      <c r="E185" s="72">
        <v>201.679993</v>
      </c>
      <c r="F185" s="72">
        <v>196.660004</v>
      </c>
      <c r="G185" s="72">
        <v>200.720001</v>
      </c>
      <c r="H185" s="72">
        <v>199.193176</v>
      </c>
      <c r="I185" s="73">
        <v>3.49086E7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70">
        <v>5.0</v>
      </c>
      <c r="C186" s="71">
        <v>43595.0</v>
      </c>
      <c r="D186" s="72">
        <v>197.419998</v>
      </c>
      <c r="E186" s="72">
        <v>198.850006</v>
      </c>
      <c r="F186" s="72">
        <v>192.770004</v>
      </c>
      <c r="G186" s="72">
        <v>197.179993</v>
      </c>
      <c r="H186" s="72">
        <v>196.433655</v>
      </c>
      <c r="I186" s="73">
        <v>4.12087E7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70">
        <v>5.0</v>
      </c>
      <c r="C187" s="71">
        <v>43598.0</v>
      </c>
      <c r="D187" s="72">
        <v>187.710007</v>
      </c>
      <c r="E187" s="72">
        <v>189.479996</v>
      </c>
      <c r="F187" s="72">
        <v>182.850006</v>
      </c>
      <c r="G187" s="72">
        <v>185.720001</v>
      </c>
      <c r="H187" s="72">
        <v>185.017044</v>
      </c>
      <c r="I187" s="73">
        <v>5.74306E7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70">
        <v>5.0</v>
      </c>
      <c r="C188" s="71">
        <v>43599.0</v>
      </c>
      <c r="D188" s="72">
        <v>186.410004</v>
      </c>
      <c r="E188" s="72">
        <v>189.699997</v>
      </c>
      <c r="F188" s="72">
        <v>185.410004</v>
      </c>
      <c r="G188" s="72">
        <v>188.660004</v>
      </c>
      <c r="H188" s="72">
        <v>187.945908</v>
      </c>
      <c r="I188" s="73">
        <v>3.65297E7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70">
        <v>5.0</v>
      </c>
      <c r="C189" s="71">
        <v>43600.0</v>
      </c>
      <c r="D189" s="72">
        <v>186.270004</v>
      </c>
      <c r="E189" s="72">
        <v>191.75</v>
      </c>
      <c r="F189" s="72">
        <v>186.020004</v>
      </c>
      <c r="G189" s="72">
        <v>190.919998</v>
      </c>
      <c r="H189" s="72">
        <v>190.197357</v>
      </c>
      <c r="I189" s="73">
        <v>2.65447E7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70">
        <v>5.0</v>
      </c>
      <c r="C190" s="71">
        <v>43601.0</v>
      </c>
      <c r="D190" s="72">
        <v>189.910004</v>
      </c>
      <c r="E190" s="72">
        <v>192.470001</v>
      </c>
      <c r="F190" s="72">
        <v>188.839996</v>
      </c>
      <c r="G190" s="72">
        <v>190.080002</v>
      </c>
      <c r="H190" s="72">
        <v>189.360535</v>
      </c>
      <c r="I190" s="73">
        <v>3.30314E7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70">
        <v>5.0</v>
      </c>
      <c r="C191" s="71">
        <v>43602.0</v>
      </c>
      <c r="D191" s="72">
        <v>186.929993</v>
      </c>
      <c r="E191" s="72">
        <v>190.899994</v>
      </c>
      <c r="F191" s="72">
        <v>186.759995</v>
      </c>
      <c r="G191" s="72">
        <v>189.0</v>
      </c>
      <c r="H191" s="72">
        <v>188.284622</v>
      </c>
      <c r="I191" s="73">
        <v>3.28791E7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70">
        <v>5.0</v>
      </c>
      <c r="C192" s="71">
        <v>43605.0</v>
      </c>
      <c r="D192" s="72">
        <v>183.520004</v>
      </c>
      <c r="E192" s="72">
        <v>184.350006</v>
      </c>
      <c r="F192" s="72">
        <v>180.279999</v>
      </c>
      <c r="G192" s="72">
        <v>183.089996</v>
      </c>
      <c r="H192" s="72">
        <v>182.396988</v>
      </c>
      <c r="I192" s="73">
        <v>3.86123E7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70">
        <v>5.0</v>
      </c>
      <c r="C193" s="71">
        <v>43606.0</v>
      </c>
      <c r="D193" s="72">
        <v>185.220001</v>
      </c>
      <c r="E193" s="72">
        <v>188.0</v>
      </c>
      <c r="F193" s="72">
        <v>184.699997</v>
      </c>
      <c r="G193" s="72">
        <v>186.600006</v>
      </c>
      <c r="H193" s="72">
        <v>185.893707</v>
      </c>
      <c r="I193" s="73">
        <v>2.83648E7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70">
        <v>5.0</v>
      </c>
      <c r="C194" s="71">
        <v>43607.0</v>
      </c>
      <c r="D194" s="72">
        <v>184.660004</v>
      </c>
      <c r="E194" s="72">
        <v>185.710007</v>
      </c>
      <c r="F194" s="72">
        <v>182.550003</v>
      </c>
      <c r="G194" s="72">
        <v>182.779999</v>
      </c>
      <c r="H194" s="72">
        <v>182.088165</v>
      </c>
      <c r="I194" s="73">
        <v>2.97486E7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70">
        <v>5.0</v>
      </c>
      <c r="C195" s="71">
        <v>43608.0</v>
      </c>
      <c r="D195" s="72">
        <v>179.800003</v>
      </c>
      <c r="E195" s="72">
        <v>180.539993</v>
      </c>
      <c r="F195" s="72">
        <v>177.809998</v>
      </c>
      <c r="G195" s="72">
        <v>179.660004</v>
      </c>
      <c r="H195" s="72">
        <v>178.97998</v>
      </c>
      <c r="I195" s="73">
        <v>3.65297E7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70">
        <v>5.0</v>
      </c>
      <c r="C196" s="71">
        <v>43609.0</v>
      </c>
      <c r="D196" s="72">
        <v>180.199997</v>
      </c>
      <c r="E196" s="72">
        <v>182.139999</v>
      </c>
      <c r="F196" s="72">
        <v>178.619995</v>
      </c>
      <c r="G196" s="72">
        <v>178.970001</v>
      </c>
      <c r="H196" s="72">
        <v>178.292587</v>
      </c>
      <c r="I196" s="73">
        <v>2.37147E7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70">
        <v>5.0</v>
      </c>
      <c r="C197" s="71">
        <v>43613.0</v>
      </c>
      <c r="D197" s="72">
        <v>178.919998</v>
      </c>
      <c r="E197" s="72">
        <v>180.589996</v>
      </c>
      <c r="F197" s="72">
        <v>177.910004</v>
      </c>
      <c r="G197" s="72">
        <v>178.229996</v>
      </c>
      <c r="H197" s="72">
        <v>177.555389</v>
      </c>
      <c r="I197" s="73">
        <v>2.79482E7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70">
        <v>5.0</v>
      </c>
      <c r="C198" s="71">
        <v>43614.0</v>
      </c>
      <c r="D198" s="72">
        <v>176.419998</v>
      </c>
      <c r="E198" s="72">
        <v>179.350006</v>
      </c>
      <c r="F198" s="72">
        <v>176.0</v>
      </c>
      <c r="G198" s="72">
        <v>177.380005</v>
      </c>
      <c r="H198" s="72">
        <v>176.708603</v>
      </c>
      <c r="I198" s="73">
        <v>2.84812E7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70">
        <v>5.0</v>
      </c>
      <c r="C199" s="71">
        <v>43615.0</v>
      </c>
      <c r="D199" s="72">
        <v>177.949997</v>
      </c>
      <c r="E199" s="72">
        <v>179.229996</v>
      </c>
      <c r="F199" s="72">
        <v>176.669998</v>
      </c>
      <c r="G199" s="72">
        <v>178.300003</v>
      </c>
      <c r="H199" s="72">
        <v>177.625122</v>
      </c>
      <c r="I199" s="73">
        <v>2.12184E7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70">
        <v>5.0</v>
      </c>
      <c r="C200" s="71">
        <v>43616.0</v>
      </c>
      <c r="D200" s="72">
        <v>176.229996</v>
      </c>
      <c r="E200" s="72">
        <v>177.990005</v>
      </c>
      <c r="F200" s="72">
        <v>174.990005</v>
      </c>
      <c r="G200" s="72">
        <v>175.070007</v>
      </c>
      <c r="H200" s="72">
        <v>174.407349</v>
      </c>
      <c r="I200" s="73">
        <v>2.70436E7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74">
        <v>6.0</v>
      </c>
      <c r="C201" s="75">
        <v>43619.0</v>
      </c>
      <c r="D201" s="76">
        <v>175.600006</v>
      </c>
      <c r="E201" s="76">
        <v>177.919998</v>
      </c>
      <c r="F201" s="76">
        <v>170.270004</v>
      </c>
      <c r="G201" s="76">
        <v>173.300003</v>
      </c>
      <c r="H201" s="76">
        <v>172.644043</v>
      </c>
      <c r="I201" s="77">
        <v>4.03961E7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74">
        <v>6.0</v>
      </c>
      <c r="C202" s="75">
        <v>43620.0</v>
      </c>
      <c r="D202" s="76">
        <v>175.440002</v>
      </c>
      <c r="E202" s="76">
        <v>179.830002</v>
      </c>
      <c r="F202" s="76">
        <v>174.520004</v>
      </c>
      <c r="G202" s="76">
        <v>179.639999</v>
      </c>
      <c r="H202" s="76">
        <v>178.960052</v>
      </c>
      <c r="I202" s="77">
        <v>3.0968E7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74">
        <v>6.0</v>
      </c>
      <c r="C203" s="75">
        <v>43621.0</v>
      </c>
      <c r="D203" s="76">
        <v>184.279999</v>
      </c>
      <c r="E203" s="76">
        <v>184.990005</v>
      </c>
      <c r="F203" s="76">
        <v>181.139999</v>
      </c>
      <c r="G203" s="76">
        <v>182.539993</v>
      </c>
      <c r="H203" s="76">
        <v>181.84906</v>
      </c>
      <c r="I203" s="77">
        <v>2.97734E7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74">
        <v>6.0</v>
      </c>
      <c r="C204" s="75">
        <v>43622.0</v>
      </c>
      <c r="D204" s="76">
        <v>183.080002</v>
      </c>
      <c r="E204" s="76">
        <v>185.470001</v>
      </c>
      <c r="F204" s="76">
        <v>182.149994</v>
      </c>
      <c r="G204" s="76">
        <v>185.220001</v>
      </c>
      <c r="H204" s="76">
        <v>184.518936</v>
      </c>
      <c r="I204" s="77">
        <v>2.25263E7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74">
        <v>6.0</v>
      </c>
      <c r="C205" s="75">
        <v>43623.0</v>
      </c>
      <c r="D205" s="76">
        <v>186.509995</v>
      </c>
      <c r="E205" s="76">
        <v>191.919998</v>
      </c>
      <c r="F205" s="76">
        <v>185.770004</v>
      </c>
      <c r="G205" s="76">
        <v>190.149994</v>
      </c>
      <c r="H205" s="76">
        <v>189.430267</v>
      </c>
      <c r="I205" s="77">
        <v>3.06844E7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74">
        <v>6.0</v>
      </c>
      <c r="C206" s="75">
        <v>43626.0</v>
      </c>
      <c r="D206" s="76">
        <v>191.809998</v>
      </c>
      <c r="E206" s="76">
        <v>195.369995</v>
      </c>
      <c r="F206" s="76">
        <v>191.619995</v>
      </c>
      <c r="G206" s="76">
        <v>192.580002</v>
      </c>
      <c r="H206" s="76">
        <v>191.851074</v>
      </c>
      <c r="I206" s="77">
        <v>2.62209E7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74">
        <v>6.0</v>
      </c>
      <c r="C207" s="75">
        <v>43627.0</v>
      </c>
      <c r="D207" s="76">
        <v>194.860001</v>
      </c>
      <c r="E207" s="76">
        <v>196.0</v>
      </c>
      <c r="F207" s="76">
        <v>193.600006</v>
      </c>
      <c r="G207" s="76">
        <v>194.809998</v>
      </c>
      <c r="H207" s="76">
        <v>194.072632</v>
      </c>
      <c r="I207" s="77">
        <v>2.69329E7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74">
        <v>6.0</v>
      </c>
      <c r="C208" s="75">
        <v>43628.0</v>
      </c>
      <c r="D208" s="76">
        <v>193.949997</v>
      </c>
      <c r="E208" s="76">
        <v>195.970001</v>
      </c>
      <c r="F208" s="76">
        <v>193.389999</v>
      </c>
      <c r="G208" s="76">
        <v>194.190002</v>
      </c>
      <c r="H208" s="76">
        <v>193.454987</v>
      </c>
      <c r="I208" s="77">
        <v>1.82532E7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74">
        <v>6.0</v>
      </c>
      <c r="C209" s="75">
        <v>43629.0</v>
      </c>
      <c r="D209" s="76">
        <v>194.699997</v>
      </c>
      <c r="E209" s="76">
        <v>196.789993</v>
      </c>
      <c r="F209" s="76">
        <v>193.600006</v>
      </c>
      <c r="G209" s="76">
        <v>194.149994</v>
      </c>
      <c r="H209" s="76">
        <v>193.415115</v>
      </c>
      <c r="I209" s="77">
        <v>2.16746E7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74">
        <v>6.0</v>
      </c>
      <c r="C210" s="75">
        <v>43630.0</v>
      </c>
      <c r="D210" s="76">
        <v>191.550003</v>
      </c>
      <c r="E210" s="76">
        <v>193.589996</v>
      </c>
      <c r="F210" s="76">
        <v>190.300003</v>
      </c>
      <c r="G210" s="76">
        <v>192.740005</v>
      </c>
      <c r="H210" s="76">
        <v>192.010468</v>
      </c>
      <c r="I210" s="77">
        <v>1.87615E7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74">
        <v>6.0</v>
      </c>
      <c r="C211" s="75">
        <v>43633.0</v>
      </c>
      <c r="D211" s="76">
        <v>192.899994</v>
      </c>
      <c r="E211" s="76">
        <v>194.960007</v>
      </c>
      <c r="F211" s="76">
        <v>192.169998</v>
      </c>
      <c r="G211" s="76">
        <v>193.889999</v>
      </c>
      <c r="H211" s="76">
        <v>193.156113</v>
      </c>
      <c r="I211" s="77">
        <v>1.46691E7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74">
        <v>6.0</v>
      </c>
      <c r="C212" s="75">
        <v>43634.0</v>
      </c>
      <c r="D212" s="76">
        <v>196.050003</v>
      </c>
      <c r="E212" s="76">
        <v>200.289993</v>
      </c>
      <c r="F212" s="76">
        <v>195.210007</v>
      </c>
      <c r="G212" s="76">
        <v>198.449997</v>
      </c>
      <c r="H212" s="76">
        <v>197.698853</v>
      </c>
      <c r="I212" s="77">
        <v>2.6551E7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74">
        <v>6.0</v>
      </c>
      <c r="C213" s="75">
        <v>43635.0</v>
      </c>
      <c r="D213" s="76">
        <v>199.679993</v>
      </c>
      <c r="E213" s="76">
        <v>199.880005</v>
      </c>
      <c r="F213" s="76">
        <v>197.309998</v>
      </c>
      <c r="G213" s="76">
        <v>197.869995</v>
      </c>
      <c r="H213" s="76">
        <v>197.121048</v>
      </c>
      <c r="I213" s="77">
        <v>2.11242E7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74">
        <v>6.0</v>
      </c>
      <c r="C214" s="75">
        <v>43636.0</v>
      </c>
      <c r="D214" s="76">
        <v>200.369995</v>
      </c>
      <c r="E214" s="76">
        <v>200.610001</v>
      </c>
      <c r="F214" s="76">
        <v>198.029999</v>
      </c>
      <c r="G214" s="76">
        <v>199.460007</v>
      </c>
      <c r="H214" s="76">
        <v>198.705032</v>
      </c>
      <c r="I214" s="77">
        <v>2.1514E7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74">
        <v>6.0</v>
      </c>
      <c r="C215" s="75">
        <v>43637.0</v>
      </c>
      <c r="D215" s="76">
        <v>198.800003</v>
      </c>
      <c r="E215" s="76">
        <v>200.850006</v>
      </c>
      <c r="F215" s="76">
        <v>198.149994</v>
      </c>
      <c r="G215" s="76">
        <v>198.779999</v>
      </c>
      <c r="H215" s="76">
        <v>198.027603</v>
      </c>
      <c r="I215" s="77">
        <v>4.78006E7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74">
        <v>6.0</v>
      </c>
      <c r="C216" s="75">
        <v>43640.0</v>
      </c>
      <c r="D216" s="76">
        <v>198.539993</v>
      </c>
      <c r="E216" s="76">
        <v>200.160004</v>
      </c>
      <c r="F216" s="76">
        <v>198.169998</v>
      </c>
      <c r="G216" s="76">
        <v>198.580002</v>
      </c>
      <c r="H216" s="76">
        <v>197.828369</v>
      </c>
      <c r="I216" s="77">
        <v>1.82204E7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74">
        <v>6.0</v>
      </c>
      <c r="C217" s="75">
        <v>43641.0</v>
      </c>
      <c r="D217" s="76">
        <v>198.429993</v>
      </c>
      <c r="E217" s="76">
        <v>199.259995</v>
      </c>
      <c r="F217" s="76">
        <v>195.289993</v>
      </c>
      <c r="G217" s="76">
        <v>195.570007</v>
      </c>
      <c r="H217" s="76">
        <v>194.829758</v>
      </c>
      <c r="I217" s="77">
        <v>2.10703E7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74">
        <v>6.0</v>
      </c>
      <c r="C218" s="75">
        <v>43642.0</v>
      </c>
      <c r="D218" s="76">
        <v>197.770004</v>
      </c>
      <c r="E218" s="76">
        <v>200.990005</v>
      </c>
      <c r="F218" s="76">
        <v>197.350006</v>
      </c>
      <c r="G218" s="76">
        <v>199.800003</v>
      </c>
      <c r="H218" s="76">
        <v>199.043747</v>
      </c>
      <c r="I218" s="77">
        <v>2.60675E7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74">
        <v>6.0</v>
      </c>
      <c r="C219" s="75">
        <v>43643.0</v>
      </c>
      <c r="D219" s="76">
        <v>200.289993</v>
      </c>
      <c r="E219" s="76">
        <v>201.570007</v>
      </c>
      <c r="F219" s="76">
        <v>199.570007</v>
      </c>
      <c r="G219" s="76">
        <v>199.740005</v>
      </c>
      <c r="H219" s="76">
        <v>198.983978</v>
      </c>
      <c r="I219" s="77">
        <v>2.08997E7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74">
        <v>6.0</v>
      </c>
      <c r="C220" s="75">
        <v>43644.0</v>
      </c>
      <c r="D220" s="76">
        <v>198.679993</v>
      </c>
      <c r="E220" s="76">
        <v>199.5</v>
      </c>
      <c r="F220" s="76">
        <v>197.050003</v>
      </c>
      <c r="G220" s="76">
        <v>197.919998</v>
      </c>
      <c r="H220" s="76">
        <v>197.170853</v>
      </c>
      <c r="I220" s="77">
        <v>3.11106E7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78">
        <v>7.0</v>
      </c>
      <c r="C221" s="79">
        <v>43647.0</v>
      </c>
      <c r="D221" s="80">
        <v>203.169998</v>
      </c>
      <c r="E221" s="80">
        <v>204.490005</v>
      </c>
      <c r="F221" s="80">
        <v>200.649994</v>
      </c>
      <c r="G221" s="80">
        <v>201.550003</v>
      </c>
      <c r="H221" s="80">
        <v>200.787125</v>
      </c>
      <c r="I221" s="81">
        <v>2.73167E7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78">
        <v>7.0</v>
      </c>
      <c r="C222" s="79">
        <v>43648.0</v>
      </c>
      <c r="D222" s="80">
        <v>201.410004</v>
      </c>
      <c r="E222" s="80">
        <v>203.130005</v>
      </c>
      <c r="F222" s="80">
        <v>201.360001</v>
      </c>
      <c r="G222" s="80">
        <v>202.729996</v>
      </c>
      <c r="H222" s="80">
        <v>201.962646</v>
      </c>
      <c r="I222" s="81">
        <v>1.69352E7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78">
        <v>7.0</v>
      </c>
      <c r="C223" s="79">
        <v>43649.0</v>
      </c>
      <c r="D223" s="80">
        <v>203.279999</v>
      </c>
      <c r="E223" s="80">
        <v>204.440002</v>
      </c>
      <c r="F223" s="80">
        <v>202.690002</v>
      </c>
      <c r="G223" s="80">
        <v>204.410004</v>
      </c>
      <c r="H223" s="80">
        <v>203.636292</v>
      </c>
      <c r="I223" s="81">
        <v>1.1362E7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78">
        <v>7.0</v>
      </c>
      <c r="C224" s="79">
        <v>43651.0</v>
      </c>
      <c r="D224" s="80">
        <v>203.350006</v>
      </c>
      <c r="E224" s="80">
        <v>205.080002</v>
      </c>
      <c r="F224" s="80">
        <v>202.899994</v>
      </c>
      <c r="G224" s="80">
        <v>204.229996</v>
      </c>
      <c r="H224" s="80">
        <v>203.45697</v>
      </c>
      <c r="I224" s="81">
        <v>1.72655E7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78">
        <v>7.0</v>
      </c>
      <c r="C225" s="79">
        <v>43654.0</v>
      </c>
      <c r="D225" s="80">
        <v>200.809998</v>
      </c>
      <c r="E225" s="80">
        <v>201.399994</v>
      </c>
      <c r="F225" s="80">
        <v>198.410004</v>
      </c>
      <c r="G225" s="80">
        <v>200.020004</v>
      </c>
      <c r="H225" s="80">
        <v>199.262909</v>
      </c>
      <c r="I225" s="81">
        <v>2.53386E7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78">
        <v>7.0</v>
      </c>
      <c r="C226" s="79">
        <v>43655.0</v>
      </c>
      <c r="D226" s="80">
        <v>199.199997</v>
      </c>
      <c r="E226" s="80">
        <v>201.509995</v>
      </c>
      <c r="F226" s="80">
        <v>198.809998</v>
      </c>
      <c r="G226" s="80">
        <v>201.240005</v>
      </c>
      <c r="H226" s="80">
        <v>200.478302</v>
      </c>
      <c r="I226" s="81">
        <v>2.0578E7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78">
        <v>7.0</v>
      </c>
      <c r="C227" s="79">
        <v>43656.0</v>
      </c>
      <c r="D227" s="80">
        <v>201.850006</v>
      </c>
      <c r="E227" s="80">
        <v>203.729996</v>
      </c>
      <c r="F227" s="80">
        <v>201.559998</v>
      </c>
      <c r="G227" s="80">
        <v>203.229996</v>
      </c>
      <c r="H227" s="80">
        <v>202.460754</v>
      </c>
      <c r="I227" s="81">
        <v>1.78971E7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78">
        <v>7.0</v>
      </c>
      <c r="C228" s="79">
        <v>43657.0</v>
      </c>
      <c r="D228" s="80">
        <v>203.309998</v>
      </c>
      <c r="E228" s="80">
        <v>204.389999</v>
      </c>
      <c r="F228" s="80">
        <v>201.710007</v>
      </c>
      <c r="G228" s="80">
        <v>201.75</v>
      </c>
      <c r="H228" s="80">
        <v>200.986359</v>
      </c>
      <c r="I228" s="81">
        <v>2.01918E7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78">
        <v>7.0</v>
      </c>
      <c r="C229" s="79">
        <v>43658.0</v>
      </c>
      <c r="D229" s="80">
        <v>202.449997</v>
      </c>
      <c r="E229" s="80">
        <v>204.0</v>
      </c>
      <c r="F229" s="80">
        <v>202.199997</v>
      </c>
      <c r="G229" s="80">
        <v>203.300003</v>
      </c>
      <c r="H229" s="80">
        <v>202.530502</v>
      </c>
      <c r="I229" s="81">
        <v>1.75952E7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78">
        <v>7.0</v>
      </c>
      <c r="C230" s="79">
        <v>43661.0</v>
      </c>
      <c r="D230" s="80">
        <v>204.089996</v>
      </c>
      <c r="E230" s="80">
        <v>205.869995</v>
      </c>
      <c r="F230" s="80">
        <v>204.0</v>
      </c>
      <c r="G230" s="80">
        <v>205.210007</v>
      </c>
      <c r="H230" s="80">
        <v>204.433273</v>
      </c>
      <c r="I230" s="81">
        <v>1.69474E7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78">
        <v>7.0</v>
      </c>
      <c r="C231" s="79">
        <v>43662.0</v>
      </c>
      <c r="D231" s="80">
        <v>204.589996</v>
      </c>
      <c r="E231" s="80">
        <v>206.110001</v>
      </c>
      <c r="F231" s="80">
        <v>203.5</v>
      </c>
      <c r="G231" s="80">
        <v>204.5</v>
      </c>
      <c r="H231" s="80">
        <v>203.725952</v>
      </c>
      <c r="I231" s="81">
        <v>1.68668E7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78">
        <v>7.0</v>
      </c>
      <c r="C232" s="79">
        <v>43663.0</v>
      </c>
      <c r="D232" s="80">
        <v>204.050003</v>
      </c>
      <c r="E232" s="80">
        <v>205.089996</v>
      </c>
      <c r="F232" s="80">
        <v>203.270004</v>
      </c>
      <c r="G232" s="80">
        <v>203.350006</v>
      </c>
      <c r="H232" s="80">
        <v>202.580307</v>
      </c>
      <c r="I232" s="81">
        <v>1.41075E7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78">
        <v>7.0</v>
      </c>
      <c r="C233" s="79">
        <v>43664.0</v>
      </c>
      <c r="D233" s="80">
        <v>204.0</v>
      </c>
      <c r="E233" s="80">
        <v>205.880005</v>
      </c>
      <c r="F233" s="80">
        <v>203.699997</v>
      </c>
      <c r="G233" s="80">
        <v>205.660004</v>
      </c>
      <c r="H233" s="80">
        <v>204.881561</v>
      </c>
      <c r="I233" s="81">
        <v>1.85822E7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78">
        <v>7.0</v>
      </c>
      <c r="C234" s="79">
        <v>43665.0</v>
      </c>
      <c r="D234" s="80">
        <v>205.789993</v>
      </c>
      <c r="E234" s="80">
        <v>206.5</v>
      </c>
      <c r="F234" s="80">
        <v>202.360001</v>
      </c>
      <c r="G234" s="80">
        <v>202.589996</v>
      </c>
      <c r="H234" s="80">
        <v>201.823181</v>
      </c>
      <c r="I234" s="81">
        <v>2.09293E7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78">
        <v>7.0</v>
      </c>
      <c r="C235" s="79">
        <v>43668.0</v>
      </c>
      <c r="D235" s="80">
        <v>203.649994</v>
      </c>
      <c r="E235" s="80">
        <v>207.229996</v>
      </c>
      <c r="F235" s="80">
        <v>203.610001</v>
      </c>
      <c r="G235" s="80">
        <v>207.220001</v>
      </c>
      <c r="H235" s="80">
        <v>206.435654</v>
      </c>
      <c r="I235" s="81">
        <v>2.22779E7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78">
        <v>7.0</v>
      </c>
      <c r="C236" s="79">
        <v>43669.0</v>
      </c>
      <c r="D236" s="80">
        <v>208.460007</v>
      </c>
      <c r="E236" s="80">
        <v>208.910004</v>
      </c>
      <c r="F236" s="80">
        <v>207.289993</v>
      </c>
      <c r="G236" s="80">
        <v>208.839996</v>
      </c>
      <c r="H236" s="80">
        <v>208.049515</v>
      </c>
      <c r="I236" s="81">
        <v>1.83552E7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78">
        <v>7.0</v>
      </c>
      <c r="C237" s="79">
        <v>43670.0</v>
      </c>
      <c r="D237" s="80">
        <v>207.669998</v>
      </c>
      <c r="E237" s="80">
        <v>209.149994</v>
      </c>
      <c r="F237" s="80">
        <v>207.169998</v>
      </c>
      <c r="G237" s="80">
        <v>208.669998</v>
      </c>
      <c r="H237" s="80">
        <v>207.880173</v>
      </c>
      <c r="I237" s="81">
        <v>1.49916E7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78">
        <v>7.0</v>
      </c>
      <c r="C238" s="79">
        <v>43671.0</v>
      </c>
      <c r="D238" s="80">
        <v>208.889999</v>
      </c>
      <c r="E238" s="80">
        <v>209.240005</v>
      </c>
      <c r="F238" s="80">
        <v>206.729996</v>
      </c>
      <c r="G238" s="80">
        <v>207.020004</v>
      </c>
      <c r="H238" s="80">
        <v>206.23642</v>
      </c>
      <c r="I238" s="81">
        <v>1.39096E7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78">
        <v>7.0</v>
      </c>
      <c r="C239" s="79">
        <v>43672.0</v>
      </c>
      <c r="D239" s="80">
        <v>207.479996</v>
      </c>
      <c r="E239" s="80">
        <v>209.729996</v>
      </c>
      <c r="F239" s="80">
        <v>207.139999</v>
      </c>
      <c r="G239" s="80">
        <v>207.740005</v>
      </c>
      <c r="H239" s="80">
        <v>206.95369</v>
      </c>
      <c r="I239" s="81">
        <v>1.76189E7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78">
        <v>7.0</v>
      </c>
      <c r="C240" s="79">
        <v>43675.0</v>
      </c>
      <c r="D240" s="80">
        <v>208.460007</v>
      </c>
      <c r="E240" s="80">
        <v>210.639999</v>
      </c>
      <c r="F240" s="80">
        <v>208.440002</v>
      </c>
      <c r="G240" s="80">
        <v>209.679993</v>
      </c>
      <c r="H240" s="80">
        <v>208.886337</v>
      </c>
      <c r="I240" s="81">
        <v>2.16734E7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78">
        <v>7.0</v>
      </c>
      <c r="C241" s="79">
        <v>43676.0</v>
      </c>
      <c r="D241" s="80">
        <v>208.759995</v>
      </c>
      <c r="E241" s="80">
        <v>210.160004</v>
      </c>
      <c r="F241" s="80">
        <v>207.309998</v>
      </c>
      <c r="G241" s="80">
        <v>208.779999</v>
      </c>
      <c r="H241" s="80">
        <v>207.989746</v>
      </c>
      <c r="I241" s="81">
        <v>3.39357E7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78">
        <v>7.0</v>
      </c>
      <c r="C242" s="79">
        <v>43677.0</v>
      </c>
      <c r="D242" s="80">
        <v>216.419998</v>
      </c>
      <c r="E242" s="80">
        <v>221.369995</v>
      </c>
      <c r="F242" s="80">
        <v>211.300003</v>
      </c>
      <c r="G242" s="80">
        <v>213.039993</v>
      </c>
      <c r="H242" s="80">
        <v>212.233627</v>
      </c>
      <c r="I242" s="81">
        <v>6.92814E7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18">
        <v>8.0</v>
      </c>
      <c r="C243" s="19">
        <v>43678.0</v>
      </c>
      <c r="D243" s="20">
        <v>213.899994</v>
      </c>
      <c r="E243" s="20">
        <v>218.029999</v>
      </c>
      <c r="F243" s="20">
        <v>206.740005</v>
      </c>
      <c r="G243" s="20">
        <v>208.429993</v>
      </c>
      <c r="H243" s="20">
        <v>207.641068</v>
      </c>
      <c r="I243" s="21">
        <v>5.40179E7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18">
        <v>8.0</v>
      </c>
      <c r="C244" s="19">
        <v>43679.0</v>
      </c>
      <c r="D244" s="20">
        <v>205.529999</v>
      </c>
      <c r="E244" s="20">
        <v>206.429993</v>
      </c>
      <c r="F244" s="20">
        <v>201.630005</v>
      </c>
      <c r="G244" s="20">
        <v>204.020004</v>
      </c>
      <c r="H244" s="20">
        <v>203.247772</v>
      </c>
      <c r="I244" s="21">
        <v>4.08621E7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18">
        <v>8.0</v>
      </c>
      <c r="C245" s="19">
        <v>43682.0</v>
      </c>
      <c r="D245" s="20">
        <v>197.990005</v>
      </c>
      <c r="E245" s="20">
        <v>198.649994</v>
      </c>
      <c r="F245" s="20">
        <v>192.580002</v>
      </c>
      <c r="G245" s="20">
        <v>193.339996</v>
      </c>
      <c r="H245" s="20">
        <v>192.608185</v>
      </c>
      <c r="I245" s="21">
        <v>5.2393E7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18">
        <v>8.0</v>
      </c>
      <c r="C246" s="19">
        <v>43683.0</v>
      </c>
      <c r="D246" s="20">
        <v>196.309998</v>
      </c>
      <c r="E246" s="20">
        <v>198.070007</v>
      </c>
      <c r="F246" s="20">
        <v>194.039993</v>
      </c>
      <c r="G246" s="20">
        <v>197.0</v>
      </c>
      <c r="H246" s="20">
        <v>196.254333</v>
      </c>
      <c r="I246" s="21">
        <v>3.58248E7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18">
        <v>8.0</v>
      </c>
      <c r="C247" s="19">
        <v>43684.0</v>
      </c>
      <c r="D247" s="20">
        <v>195.410004</v>
      </c>
      <c r="E247" s="20">
        <v>199.559998</v>
      </c>
      <c r="F247" s="20">
        <v>193.820007</v>
      </c>
      <c r="G247" s="20">
        <v>199.039993</v>
      </c>
      <c r="H247" s="20">
        <v>198.286606</v>
      </c>
      <c r="I247" s="21">
        <v>3.33644E7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18">
        <v>8.0</v>
      </c>
      <c r="C248" s="19">
        <v>43685.0</v>
      </c>
      <c r="D248" s="20">
        <v>200.199997</v>
      </c>
      <c r="E248" s="20">
        <v>203.529999</v>
      </c>
      <c r="F248" s="20">
        <v>199.389999</v>
      </c>
      <c r="G248" s="20">
        <v>203.429993</v>
      </c>
      <c r="H248" s="20">
        <v>202.659988</v>
      </c>
      <c r="I248" s="21">
        <v>2.70095E7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18">
        <v>8.0</v>
      </c>
      <c r="C249" s="19">
        <v>43686.0</v>
      </c>
      <c r="D249" s="20">
        <v>201.300003</v>
      </c>
      <c r="E249" s="20">
        <v>202.759995</v>
      </c>
      <c r="F249" s="20">
        <v>199.289993</v>
      </c>
      <c r="G249" s="20">
        <v>200.990005</v>
      </c>
      <c r="H249" s="20">
        <v>200.990005</v>
      </c>
      <c r="I249" s="21">
        <v>2.46197E7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18">
        <v>8.0</v>
      </c>
      <c r="C250" s="19">
        <v>43689.0</v>
      </c>
      <c r="D250" s="20">
        <v>199.619995</v>
      </c>
      <c r="E250" s="20">
        <v>202.050003</v>
      </c>
      <c r="F250" s="20">
        <v>199.149994</v>
      </c>
      <c r="G250" s="20">
        <v>200.479996</v>
      </c>
      <c r="H250" s="20">
        <v>200.479996</v>
      </c>
      <c r="I250" s="21">
        <v>2.24749E7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18">
        <v>8.0</v>
      </c>
      <c r="C251" s="19">
        <v>43690.0</v>
      </c>
      <c r="D251" s="20">
        <v>201.020004</v>
      </c>
      <c r="E251" s="20">
        <v>212.139999</v>
      </c>
      <c r="F251" s="20">
        <v>200.479996</v>
      </c>
      <c r="G251" s="20">
        <v>208.970001</v>
      </c>
      <c r="H251" s="20">
        <v>208.970001</v>
      </c>
      <c r="I251" s="21">
        <v>4.72185E7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7"/>
      <c r="B252" s="18">
        <v>8.0</v>
      </c>
      <c r="C252" s="19">
        <v>43691.0</v>
      </c>
      <c r="D252" s="20">
        <v>203.160004</v>
      </c>
      <c r="E252" s="20">
        <v>206.440002</v>
      </c>
      <c r="F252" s="20">
        <v>202.589996</v>
      </c>
      <c r="G252" s="20">
        <v>202.75</v>
      </c>
      <c r="H252" s="20">
        <v>202.75</v>
      </c>
      <c r="I252" s="21">
        <v>3.64531E7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82"/>
      <c r="B253" s="82"/>
      <c r="C253" s="83"/>
      <c r="D253" s="4"/>
      <c r="E253" s="4"/>
      <c r="F253" s="4"/>
      <c r="G253" s="4"/>
      <c r="H253" s="4"/>
      <c r="I253" s="8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82"/>
      <c r="B254" s="82"/>
      <c r="C254" s="83"/>
      <c r="D254" s="4"/>
      <c r="E254" s="4"/>
      <c r="F254" s="4"/>
      <c r="G254" s="4"/>
      <c r="H254" s="4"/>
      <c r="I254" s="8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82"/>
      <c r="B255" s="82"/>
      <c r="C255" s="83"/>
      <c r="D255" s="4"/>
      <c r="E255" s="4"/>
      <c r="F255" s="4"/>
      <c r="G255" s="4"/>
      <c r="H255" s="4"/>
      <c r="I255" s="8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82"/>
      <c r="B256" s="82"/>
      <c r="C256" s="83"/>
      <c r="D256" s="4"/>
      <c r="E256" s="4"/>
      <c r="F256" s="4"/>
      <c r="G256" s="4"/>
      <c r="H256" s="4"/>
      <c r="I256" s="8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82"/>
      <c r="B257" s="82"/>
      <c r="C257" s="83"/>
      <c r="D257" s="4"/>
      <c r="E257" s="4"/>
      <c r="F257" s="4"/>
      <c r="G257" s="4"/>
      <c r="H257" s="4"/>
      <c r="I257" s="8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82"/>
      <c r="B258" s="82"/>
      <c r="C258" s="83"/>
      <c r="D258" s="4"/>
      <c r="E258" s="4"/>
      <c r="F258" s="4"/>
      <c r="G258" s="4"/>
      <c r="H258" s="4"/>
      <c r="I258" s="8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82"/>
      <c r="B259" s="82"/>
      <c r="C259" s="83"/>
      <c r="D259" s="4"/>
      <c r="E259" s="4"/>
      <c r="F259" s="4"/>
      <c r="G259" s="4"/>
      <c r="H259" s="4"/>
      <c r="I259" s="8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82"/>
      <c r="B260" s="82"/>
      <c r="C260" s="83"/>
      <c r="D260" s="4"/>
      <c r="E260" s="4"/>
      <c r="F260" s="4"/>
      <c r="G260" s="4"/>
      <c r="H260" s="4"/>
      <c r="I260" s="8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82"/>
      <c r="B261" s="82"/>
      <c r="C261" s="83"/>
      <c r="D261" s="4"/>
      <c r="E261" s="4"/>
      <c r="F261" s="4"/>
      <c r="G261" s="4"/>
      <c r="H261" s="4"/>
      <c r="I261" s="8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82"/>
      <c r="B262" s="82"/>
      <c r="C262" s="83"/>
      <c r="D262" s="4"/>
      <c r="E262" s="4"/>
      <c r="F262" s="4"/>
      <c r="G262" s="4"/>
      <c r="H262" s="4"/>
      <c r="I262" s="8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82"/>
      <c r="B263" s="82"/>
      <c r="C263" s="83"/>
      <c r="D263" s="4"/>
      <c r="E263" s="4"/>
      <c r="F263" s="4"/>
      <c r="G263" s="4"/>
      <c r="H263" s="4"/>
      <c r="I263" s="8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82"/>
      <c r="B264" s="82"/>
      <c r="C264" s="83"/>
      <c r="D264" s="4"/>
      <c r="E264" s="4"/>
      <c r="F264" s="4"/>
      <c r="G264" s="4"/>
      <c r="H264" s="4"/>
      <c r="I264" s="8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82"/>
      <c r="B265" s="82"/>
      <c r="C265" s="83"/>
      <c r="D265" s="4"/>
      <c r="E265" s="4"/>
      <c r="F265" s="4"/>
      <c r="G265" s="4"/>
      <c r="H265" s="4"/>
      <c r="I265" s="8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82"/>
      <c r="B266" s="82"/>
      <c r="C266" s="83"/>
      <c r="D266" s="4"/>
      <c r="E266" s="4"/>
      <c r="F266" s="4"/>
      <c r="G266" s="4"/>
      <c r="H266" s="4"/>
      <c r="I266" s="8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82"/>
      <c r="B267" s="82"/>
      <c r="C267" s="83"/>
      <c r="D267" s="4"/>
      <c r="E267" s="4"/>
      <c r="F267" s="4"/>
      <c r="G267" s="4"/>
      <c r="H267" s="4"/>
      <c r="I267" s="8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82"/>
      <c r="B268" s="82"/>
      <c r="C268" s="83"/>
      <c r="D268" s="4"/>
      <c r="E268" s="4"/>
      <c r="F268" s="4"/>
      <c r="G268" s="4"/>
      <c r="H268" s="4"/>
      <c r="I268" s="8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82"/>
      <c r="B269" s="82"/>
      <c r="C269" s="83"/>
      <c r="D269" s="4"/>
      <c r="E269" s="4"/>
      <c r="F269" s="4"/>
      <c r="G269" s="4"/>
      <c r="H269" s="4"/>
      <c r="I269" s="8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82"/>
      <c r="B270" s="82"/>
      <c r="C270" s="83"/>
      <c r="D270" s="4"/>
      <c r="E270" s="4"/>
      <c r="F270" s="4"/>
      <c r="G270" s="4"/>
      <c r="H270" s="4"/>
      <c r="I270" s="8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82"/>
      <c r="B271" s="82"/>
      <c r="C271" s="83"/>
      <c r="D271" s="4"/>
      <c r="E271" s="4"/>
      <c r="F271" s="4"/>
      <c r="G271" s="4"/>
      <c r="H271" s="4"/>
      <c r="I271" s="8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82"/>
      <c r="B272" s="82"/>
      <c r="C272" s="83"/>
      <c r="D272" s="4"/>
      <c r="E272" s="4"/>
      <c r="F272" s="4"/>
      <c r="G272" s="4"/>
      <c r="H272" s="4"/>
      <c r="I272" s="8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82"/>
      <c r="B273" s="82"/>
      <c r="C273" s="83"/>
      <c r="D273" s="4"/>
      <c r="E273" s="4"/>
      <c r="F273" s="4"/>
      <c r="G273" s="4"/>
      <c r="H273" s="4"/>
      <c r="I273" s="8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82"/>
      <c r="B274" s="82"/>
      <c r="C274" s="83"/>
      <c r="D274" s="4"/>
      <c r="E274" s="4"/>
      <c r="F274" s="4"/>
      <c r="G274" s="4"/>
      <c r="H274" s="4"/>
      <c r="I274" s="8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82"/>
      <c r="B275" s="82"/>
      <c r="C275" s="83"/>
      <c r="D275" s="4"/>
      <c r="E275" s="4"/>
      <c r="F275" s="4"/>
      <c r="G275" s="4"/>
      <c r="H275" s="4"/>
      <c r="I275" s="8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82"/>
      <c r="B276" s="82"/>
      <c r="C276" s="83"/>
      <c r="D276" s="4"/>
      <c r="E276" s="4"/>
      <c r="F276" s="4"/>
      <c r="G276" s="4"/>
      <c r="H276" s="4"/>
      <c r="I276" s="8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82"/>
      <c r="B277" s="82"/>
      <c r="C277" s="83"/>
      <c r="D277" s="4"/>
      <c r="E277" s="4"/>
      <c r="F277" s="4"/>
      <c r="G277" s="4"/>
      <c r="H277" s="4"/>
      <c r="I277" s="8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82"/>
      <c r="B278" s="82"/>
      <c r="C278" s="83"/>
      <c r="D278" s="4"/>
      <c r="E278" s="4"/>
      <c r="F278" s="4"/>
      <c r="G278" s="4"/>
      <c r="H278" s="4"/>
      <c r="I278" s="8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82"/>
      <c r="B279" s="82"/>
      <c r="C279" s="83"/>
      <c r="D279" s="4"/>
      <c r="E279" s="4"/>
      <c r="F279" s="4"/>
      <c r="G279" s="4"/>
      <c r="H279" s="4"/>
      <c r="I279" s="8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82"/>
      <c r="B280" s="82"/>
      <c r="C280" s="83"/>
      <c r="D280" s="4"/>
      <c r="E280" s="4"/>
      <c r="F280" s="4"/>
      <c r="G280" s="4"/>
      <c r="H280" s="4"/>
      <c r="I280" s="8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82"/>
      <c r="B281" s="82"/>
      <c r="C281" s="83"/>
      <c r="D281" s="4"/>
      <c r="E281" s="4"/>
      <c r="F281" s="4"/>
      <c r="G281" s="4"/>
      <c r="H281" s="4"/>
      <c r="I281" s="8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82"/>
      <c r="B282" s="82"/>
      <c r="C282" s="83"/>
      <c r="D282" s="4"/>
      <c r="E282" s="4"/>
      <c r="F282" s="4"/>
      <c r="G282" s="4"/>
      <c r="H282" s="4"/>
      <c r="I282" s="8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82"/>
      <c r="B283" s="82"/>
      <c r="C283" s="83"/>
      <c r="D283" s="4"/>
      <c r="E283" s="4"/>
      <c r="F283" s="4"/>
      <c r="G283" s="4"/>
      <c r="H283" s="4"/>
      <c r="I283" s="8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82"/>
      <c r="B284" s="82"/>
      <c r="C284" s="83"/>
      <c r="D284" s="4"/>
      <c r="E284" s="4"/>
      <c r="F284" s="4"/>
      <c r="G284" s="4"/>
      <c r="H284" s="4"/>
      <c r="I284" s="8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82"/>
      <c r="B285" s="82"/>
      <c r="C285" s="83"/>
      <c r="D285" s="4"/>
      <c r="E285" s="4"/>
      <c r="F285" s="4"/>
      <c r="G285" s="4"/>
      <c r="H285" s="4"/>
      <c r="I285" s="8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82"/>
      <c r="B286" s="82"/>
      <c r="C286" s="83"/>
      <c r="D286" s="4"/>
      <c r="E286" s="4"/>
      <c r="F286" s="4"/>
      <c r="G286" s="4"/>
      <c r="H286" s="4"/>
      <c r="I286" s="8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82"/>
      <c r="B287" s="82"/>
      <c r="C287" s="83"/>
      <c r="D287" s="4"/>
      <c r="E287" s="4"/>
      <c r="F287" s="4"/>
      <c r="G287" s="4"/>
      <c r="H287" s="4"/>
      <c r="I287" s="8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82"/>
      <c r="B288" s="82"/>
      <c r="C288" s="83"/>
      <c r="D288" s="4"/>
      <c r="E288" s="4"/>
      <c r="F288" s="4"/>
      <c r="G288" s="4"/>
      <c r="H288" s="4"/>
      <c r="I288" s="8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82"/>
      <c r="B289" s="82"/>
      <c r="C289" s="83"/>
      <c r="D289" s="4"/>
      <c r="E289" s="4"/>
      <c r="F289" s="4"/>
      <c r="G289" s="4"/>
      <c r="H289" s="4"/>
      <c r="I289" s="8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82"/>
      <c r="B290" s="82"/>
      <c r="C290" s="83"/>
      <c r="D290" s="4"/>
      <c r="E290" s="4"/>
      <c r="F290" s="4"/>
      <c r="G290" s="4"/>
      <c r="H290" s="4"/>
      <c r="I290" s="8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82"/>
      <c r="B291" s="82"/>
      <c r="C291" s="83"/>
      <c r="D291" s="4"/>
      <c r="E291" s="4"/>
      <c r="F291" s="4"/>
      <c r="G291" s="4"/>
      <c r="H291" s="4"/>
      <c r="I291" s="8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82"/>
      <c r="B292" s="82"/>
      <c r="C292" s="83"/>
      <c r="D292" s="4"/>
      <c r="E292" s="4"/>
      <c r="F292" s="4"/>
      <c r="G292" s="4"/>
      <c r="H292" s="4"/>
      <c r="I292" s="8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82"/>
      <c r="B293" s="82"/>
      <c r="C293" s="83"/>
      <c r="D293" s="4"/>
      <c r="E293" s="4"/>
      <c r="F293" s="4"/>
      <c r="G293" s="4"/>
      <c r="H293" s="4"/>
      <c r="I293" s="8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82"/>
      <c r="B294" s="82"/>
      <c r="C294" s="83"/>
      <c r="D294" s="4"/>
      <c r="E294" s="4"/>
      <c r="F294" s="4"/>
      <c r="G294" s="4"/>
      <c r="H294" s="4"/>
      <c r="I294" s="8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82"/>
      <c r="B295" s="82"/>
      <c r="C295" s="83"/>
      <c r="D295" s="4"/>
      <c r="E295" s="4"/>
      <c r="F295" s="4"/>
      <c r="G295" s="4"/>
      <c r="H295" s="4"/>
      <c r="I295" s="8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82"/>
      <c r="B296" s="82"/>
      <c r="C296" s="83"/>
      <c r="D296" s="4"/>
      <c r="E296" s="4"/>
      <c r="F296" s="4"/>
      <c r="G296" s="4"/>
      <c r="H296" s="4"/>
      <c r="I296" s="8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82"/>
      <c r="B297" s="82"/>
      <c r="C297" s="83"/>
      <c r="D297" s="4"/>
      <c r="E297" s="4"/>
      <c r="F297" s="4"/>
      <c r="G297" s="4"/>
      <c r="H297" s="4"/>
      <c r="I297" s="8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82"/>
      <c r="B298" s="82"/>
      <c r="C298" s="83"/>
      <c r="D298" s="4"/>
      <c r="E298" s="4"/>
      <c r="F298" s="4"/>
      <c r="G298" s="4"/>
      <c r="H298" s="4"/>
      <c r="I298" s="8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82"/>
      <c r="B299" s="82"/>
      <c r="C299" s="83"/>
      <c r="D299" s="4"/>
      <c r="E299" s="4"/>
      <c r="F299" s="4"/>
      <c r="G299" s="4"/>
      <c r="H299" s="4"/>
      <c r="I299" s="8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82"/>
      <c r="B300" s="82"/>
      <c r="C300" s="83"/>
      <c r="D300" s="4"/>
      <c r="E300" s="4"/>
      <c r="F300" s="4"/>
      <c r="G300" s="4"/>
      <c r="H300" s="4"/>
      <c r="I300" s="8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82"/>
      <c r="B301" s="82"/>
      <c r="C301" s="83"/>
      <c r="D301" s="4"/>
      <c r="E301" s="4"/>
      <c r="F301" s="4"/>
      <c r="G301" s="4"/>
      <c r="H301" s="4"/>
      <c r="I301" s="8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82"/>
      <c r="B302" s="82"/>
      <c r="C302" s="83"/>
      <c r="D302" s="4"/>
      <c r="E302" s="4"/>
      <c r="F302" s="4"/>
      <c r="G302" s="4"/>
      <c r="H302" s="4"/>
      <c r="I302" s="8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82"/>
      <c r="B303" s="82"/>
      <c r="C303" s="83"/>
      <c r="D303" s="4"/>
      <c r="E303" s="4"/>
      <c r="F303" s="4"/>
      <c r="G303" s="4"/>
      <c r="H303" s="4"/>
      <c r="I303" s="8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82"/>
      <c r="B304" s="82"/>
      <c r="C304" s="83"/>
      <c r="D304" s="4"/>
      <c r="E304" s="4"/>
      <c r="F304" s="4"/>
      <c r="G304" s="4"/>
      <c r="H304" s="4"/>
      <c r="I304" s="8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82"/>
      <c r="B305" s="82"/>
      <c r="C305" s="83"/>
      <c r="D305" s="4"/>
      <c r="E305" s="4"/>
      <c r="F305" s="4"/>
      <c r="G305" s="4"/>
      <c r="H305" s="4"/>
      <c r="I305" s="8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82"/>
      <c r="B306" s="82"/>
      <c r="C306" s="83"/>
      <c r="D306" s="4"/>
      <c r="E306" s="4"/>
      <c r="F306" s="4"/>
      <c r="G306" s="4"/>
      <c r="H306" s="4"/>
      <c r="I306" s="8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82"/>
      <c r="B307" s="82"/>
      <c r="C307" s="83"/>
      <c r="D307" s="4"/>
      <c r="E307" s="4"/>
      <c r="F307" s="4"/>
      <c r="G307" s="4"/>
      <c r="H307" s="4"/>
      <c r="I307" s="8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82"/>
      <c r="B308" s="82"/>
      <c r="C308" s="83"/>
      <c r="D308" s="4"/>
      <c r="E308" s="4"/>
      <c r="F308" s="4"/>
      <c r="G308" s="4"/>
      <c r="H308" s="4"/>
      <c r="I308" s="8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82"/>
      <c r="B309" s="82"/>
      <c r="C309" s="83"/>
      <c r="D309" s="4"/>
      <c r="E309" s="4"/>
      <c r="F309" s="4"/>
      <c r="G309" s="4"/>
      <c r="H309" s="4"/>
      <c r="I309" s="8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82"/>
      <c r="B310" s="82"/>
      <c r="C310" s="83"/>
      <c r="D310" s="4"/>
      <c r="E310" s="4"/>
      <c r="F310" s="4"/>
      <c r="G310" s="4"/>
      <c r="H310" s="4"/>
      <c r="I310" s="8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82"/>
      <c r="B311" s="82"/>
      <c r="C311" s="83"/>
      <c r="D311" s="4"/>
      <c r="E311" s="4"/>
      <c r="F311" s="4"/>
      <c r="G311" s="4"/>
      <c r="H311" s="4"/>
      <c r="I311" s="8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82"/>
      <c r="B312" s="82"/>
      <c r="C312" s="83"/>
      <c r="D312" s="4"/>
      <c r="E312" s="4"/>
      <c r="F312" s="4"/>
      <c r="G312" s="4"/>
      <c r="H312" s="4"/>
      <c r="I312" s="8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82"/>
      <c r="B313" s="82"/>
      <c r="C313" s="83"/>
      <c r="D313" s="4"/>
      <c r="E313" s="4"/>
      <c r="F313" s="4"/>
      <c r="G313" s="4"/>
      <c r="H313" s="4"/>
      <c r="I313" s="8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82"/>
      <c r="B314" s="82"/>
      <c r="C314" s="83"/>
      <c r="D314" s="4"/>
      <c r="E314" s="4"/>
      <c r="F314" s="4"/>
      <c r="G314" s="4"/>
      <c r="H314" s="4"/>
      <c r="I314" s="8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82"/>
      <c r="B315" s="82"/>
      <c r="C315" s="83"/>
      <c r="D315" s="4"/>
      <c r="E315" s="4"/>
      <c r="F315" s="4"/>
      <c r="G315" s="4"/>
      <c r="H315" s="4"/>
      <c r="I315" s="8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82"/>
      <c r="B316" s="82"/>
      <c r="C316" s="83"/>
      <c r="D316" s="4"/>
      <c r="E316" s="4"/>
      <c r="F316" s="4"/>
      <c r="G316" s="4"/>
      <c r="H316" s="4"/>
      <c r="I316" s="8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82"/>
      <c r="B317" s="82"/>
      <c r="C317" s="83"/>
      <c r="D317" s="4"/>
      <c r="E317" s="4"/>
      <c r="F317" s="4"/>
      <c r="G317" s="4"/>
      <c r="H317" s="4"/>
      <c r="I317" s="8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82"/>
      <c r="B318" s="82"/>
      <c r="C318" s="83"/>
      <c r="D318" s="4"/>
      <c r="E318" s="4"/>
      <c r="F318" s="4"/>
      <c r="G318" s="4"/>
      <c r="H318" s="4"/>
      <c r="I318" s="8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82"/>
      <c r="B319" s="82"/>
      <c r="C319" s="83"/>
      <c r="D319" s="4"/>
      <c r="E319" s="4"/>
      <c r="F319" s="4"/>
      <c r="G319" s="4"/>
      <c r="H319" s="4"/>
      <c r="I319" s="8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82"/>
      <c r="B320" s="82"/>
      <c r="C320" s="83"/>
      <c r="D320" s="4"/>
      <c r="E320" s="4"/>
      <c r="F320" s="4"/>
      <c r="G320" s="4"/>
      <c r="H320" s="4"/>
      <c r="I320" s="8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82"/>
      <c r="B321" s="82"/>
      <c r="C321" s="83"/>
      <c r="D321" s="4"/>
      <c r="E321" s="4"/>
      <c r="F321" s="4"/>
      <c r="G321" s="4"/>
      <c r="H321" s="4"/>
      <c r="I321" s="8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82"/>
      <c r="B322" s="82"/>
      <c r="C322" s="83"/>
      <c r="D322" s="4"/>
      <c r="E322" s="4"/>
      <c r="F322" s="4"/>
      <c r="G322" s="4"/>
      <c r="H322" s="4"/>
      <c r="I322" s="8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82"/>
      <c r="B323" s="82"/>
      <c r="C323" s="83"/>
      <c r="D323" s="4"/>
      <c r="E323" s="4"/>
      <c r="F323" s="4"/>
      <c r="G323" s="4"/>
      <c r="H323" s="4"/>
      <c r="I323" s="8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82"/>
      <c r="B324" s="82"/>
      <c r="C324" s="83"/>
      <c r="D324" s="4"/>
      <c r="E324" s="4"/>
      <c r="F324" s="4"/>
      <c r="G324" s="4"/>
      <c r="H324" s="4"/>
      <c r="I324" s="8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82"/>
      <c r="B325" s="82"/>
      <c r="C325" s="83"/>
      <c r="D325" s="4"/>
      <c r="E325" s="4"/>
      <c r="F325" s="4"/>
      <c r="G325" s="4"/>
      <c r="H325" s="4"/>
      <c r="I325" s="8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82"/>
      <c r="B326" s="82"/>
      <c r="C326" s="83"/>
      <c r="D326" s="4"/>
      <c r="E326" s="4"/>
      <c r="F326" s="4"/>
      <c r="G326" s="4"/>
      <c r="H326" s="4"/>
      <c r="I326" s="8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82"/>
      <c r="B327" s="82"/>
      <c r="C327" s="83"/>
      <c r="D327" s="4"/>
      <c r="E327" s="4"/>
      <c r="F327" s="4"/>
      <c r="G327" s="4"/>
      <c r="H327" s="4"/>
      <c r="I327" s="8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82"/>
      <c r="B328" s="82"/>
      <c r="C328" s="83"/>
      <c r="D328" s="4"/>
      <c r="E328" s="4"/>
      <c r="F328" s="4"/>
      <c r="G328" s="4"/>
      <c r="H328" s="4"/>
      <c r="I328" s="8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82"/>
      <c r="B329" s="82"/>
      <c r="C329" s="83"/>
      <c r="D329" s="4"/>
      <c r="E329" s="4"/>
      <c r="F329" s="4"/>
      <c r="G329" s="4"/>
      <c r="H329" s="4"/>
      <c r="I329" s="8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82"/>
      <c r="B330" s="82"/>
      <c r="C330" s="83"/>
      <c r="D330" s="4"/>
      <c r="E330" s="4"/>
      <c r="F330" s="4"/>
      <c r="G330" s="4"/>
      <c r="H330" s="4"/>
      <c r="I330" s="8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82"/>
      <c r="B331" s="82"/>
      <c r="C331" s="83"/>
      <c r="D331" s="4"/>
      <c r="E331" s="4"/>
      <c r="F331" s="4"/>
      <c r="G331" s="4"/>
      <c r="H331" s="4"/>
      <c r="I331" s="8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82"/>
      <c r="B332" s="82"/>
      <c r="C332" s="83"/>
      <c r="D332" s="4"/>
      <c r="E332" s="4"/>
      <c r="F332" s="4"/>
      <c r="G332" s="4"/>
      <c r="H332" s="4"/>
      <c r="I332" s="8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82"/>
      <c r="B333" s="82"/>
      <c r="C333" s="83"/>
      <c r="D333" s="4"/>
      <c r="E333" s="4"/>
      <c r="F333" s="4"/>
      <c r="G333" s="4"/>
      <c r="H333" s="4"/>
      <c r="I333" s="8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82"/>
      <c r="B334" s="82"/>
      <c r="C334" s="83"/>
      <c r="D334" s="4"/>
      <c r="E334" s="4"/>
      <c r="F334" s="4"/>
      <c r="G334" s="4"/>
      <c r="H334" s="4"/>
      <c r="I334" s="8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82"/>
      <c r="B335" s="82"/>
      <c r="C335" s="83"/>
      <c r="D335" s="4"/>
      <c r="E335" s="4"/>
      <c r="F335" s="4"/>
      <c r="G335" s="4"/>
      <c r="H335" s="4"/>
      <c r="I335" s="8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82"/>
      <c r="B336" s="82"/>
      <c r="C336" s="83"/>
      <c r="D336" s="4"/>
      <c r="E336" s="4"/>
      <c r="F336" s="4"/>
      <c r="G336" s="4"/>
      <c r="H336" s="4"/>
      <c r="I336" s="8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82"/>
      <c r="B337" s="82"/>
      <c r="C337" s="83"/>
      <c r="D337" s="4"/>
      <c r="E337" s="4"/>
      <c r="F337" s="4"/>
      <c r="G337" s="4"/>
      <c r="H337" s="4"/>
      <c r="I337" s="8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82"/>
      <c r="B338" s="82"/>
      <c r="C338" s="83"/>
      <c r="D338" s="4"/>
      <c r="E338" s="4"/>
      <c r="F338" s="4"/>
      <c r="G338" s="4"/>
      <c r="H338" s="4"/>
      <c r="I338" s="8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82"/>
      <c r="B339" s="82"/>
      <c r="C339" s="83"/>
      <c r="D339" s="4"/>
      <c r="E339" s="4"/>
      <c r="F339" s="4"/>
      <c r="G339" s="4"/>
      <c r="H339" s="4"/>
      <c r="I339" s="8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82"/>
      <c r="B340" s="82"/>
      <c r="C340" s="83"/>
      <c r="D340" s="4"/>
      <c r="E340" s="4"/>
      <c r="F340" s="4"/>
      <c r="G340" s="4"/>
      <c r="H340" s="4"/>
      <c r="I340" s="8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82"/>
      <c r="B341" s="82"/>
      <c r="C341" s="83"/>
      <c r="D341" s="4"/>
      <c r="E341" s="4"/>
      <c r="F341" s="4"/>
      <c r="G341" s="4"/>
      <c r="H341" s="4"/>
      <c r="I341" s="8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82"/>
      <c r="B342" s="82"/>
      <c r="C342" s="83"/>
      <c r="D342" s="4"/>
      <c r="E342" s="4"/>
      <c r="F342" s="4"/>
      <c r="G342" s="4"/>
      <c r="H342" s="4"/>
      <c r="I342" s="8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82"/>
      <c r="B343" s="82"/>
      <c r="C343" s="83"/>
      <c r="D343" s="4"/>
      <c r="E343" s="4"/>
      <c r="F343" s="4"/>
      <c r="G343" s="4"/>
      <c r="H343" s="4"/>
      <c r="I343" s="8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82"/>
      <c r="B344" s="82"/>
      <c r="C344" s="83"/>
      <c r="D344" s="4"/>
      <c r="E344" s="4"/>
      <c r="F344" s="4"/>
      <c r="G344" s="4"/>
      <c r="H344" s="4"/>
      <c r="I344" s="8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82"/>
      <c r="B345" s="82"/>
      <c r="C345" s="83"/>
      <c r="D345" s="4"/>
      <c r="E345" s="4"/>
      <c r="F345" s="4"/>
      <c r="G345" s="4"/>
      <c r="H345" s="4"/>
      <c r="I345" s="8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82"/>
      <c r="B346" s="82"/>
      <c r="C346" s="83"/>
      <c r="D346" s="4"/>
      <c r="E346" s="4"/>
      <c r="F346" s="4"/>
      <c r="G346" s="4"/>
      <c r="H346" s="4"/>
      <c r="I346" s="8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82"/>
      <c r="B347" s="82"/>
      <c r="C347" s="83"/>
      <c r="D347" s="4"/>
      <c r="E347" s="4"/>
      <c r="F347" s="4"/>
      <c r="G347" s="4"/>
      <c r="H347" s="4"/>
      <c r="I347" s="8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82"/>
      <c r="B348" s="82"/>
      <c r="C348" s="83"/>
      <c r="D348" s="4"/>
      <c r="E348" s="4"/>
      <c r="F348" s="4"/>
      <c r="G348" s="4"/>
      <c r="H348" s="4"/>
      <c r="I348" s="8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82"/>
      <c r="B349" s="82"/>
      <c r="C349" s="83"/>
      <c r="D349" s="4"/>
      <c r="E349" s="4"/>
      <c r="F349" s="4"/>
      <c r="G349" s="4"/>
      <c r="H349" s="4"/>
      <c r="I349" s="8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82"/>
      <c r="B350" s="82"/>
      <c r="C350" s="83"/>
      <c r="D350" s="4"/>
      <c r="E350" s="4"/>
      <c r="F350" s="4"/>
      <c r="G350" s="4"/>
      <c r="H350" s="4"/>
      <c r="I350" s="8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82"/>
      <c r="B351" s="82"/>
      <c r="C351" s="83"/>
      <c r="D351" s="4"/>
      <c r="E351" s="4"/>
      <c r="F351" s="4"/>
      <c r="G351" s="4"/>
      <c r="H351" s="4"/>
      <c r="I351" s="8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82"/>
      <c r="B352" s="82"/>
      <c r="C352" s="83"/>
      <c r="D352" s="4"/>
      <c r="E352" s="4"/>
      <c r="F352" s="4"/>
      <c r="G352" s="4"/>
      <c r="H352" s="4"/>
      <c r="I352" s="8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82"/>
      <c r="B353" s="82"/>
      <c r="C353" s="83"/>
      <c r="D353" s="4"/>
      <c r="E353" s="4"/>
      <c r="F353" s="4"/>
      <c r="G353" s="4"/>
      <c r="H353" s="4"/>
      <c r="I353" s="8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82"/>
      <c r="B354" s="82"/>
      <c r="C354" s="83"/>
      <c r="D354" s="4"/>
      <c r="E354" s="4"/>
      <c r="F354" s="4"/>
      <c r="G354" s="4"/>
      <c r="H354" s="4"/>
      <c r="I354" s="8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82"/>
      <c r="B355" s="82"/>
      <c r="C355" s="83"/>
      <c r="D355" s="4"/>
      <c r="E355" s="4"/>
      <c r="F355" s="4"/>
      <c r="G355" s="4"/>
      <c r="H355" s="4"/>
      <c r="I355" s="8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82"/>
      <c r="B356" s="82"/>
      <c r="C356" s="83"/>
      <c r="D356" s="4"/>
      <c r="E356" s="4"/>
      <c r="F356" s="4"/>
      <c r="G356" s="4"/>
      <c r="H356" s="4"/>
      <c r="I356" s="8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82"/>
      <c r="B357" s="82"/>
      <c r="C357" s="83"/>
      <c r="D357" s="4"/>
      <c r="E357" s="4"/>
      <c r="F357" s="4"/>
      <c r="G357" s="4"/>
      <c r="H357" s="4"/>
      <c r="I357" s="8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82"/>
      <c r="B358" s="82"/>
      <c r="C358" s="83"/>
      <c r="D358" s="4"/>
      <c r="E358" s="4"/>
      <c r="F358" s="4"/>
      <c r="G358" s="4"/>
      <c r="H358" s="4"/>
      <c r="I358" s="8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82"/>
      <c r="B359" s="82"/>
      <c r="C359" s="83"/>
      <c r="D359" s="4"/>
      <c r="E359" s="4"/>
      <c r="F359" s="4"/>
      <c r="G359" s="4"/>
      <c r="H359" s="4"/>
      <c r="I359" s="8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82"/>
      <c r="B360" s="82"/>
      <c r="C360" s="83"/>
      <c r="D360" s="4"/>
      <c r="E360" s="4"/>
      <c r="F360" s="4"/>
      <c r="G360" s="4"/>
      <c r="H360" s="4"/>
      <c r="I360" s="8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82"/>
      <c r="B361" s="82"/>
      <c r="C361" s="83"/>
      <c r="D361" s="4"/>
      <c r="E361" s="4"/>
      <c r="F361" s="4"/>
      <c r="G361" s="4"/>
      <c r="H361" s="4"/>
      <c r="I361" s="8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82"/>
      <c r="B362" s="82"/>
      <c r="C362" s="83"/>
      <c r="D362" s="4"/>
      <c r="E362" s="4"/>
      <c r="F362" s="4"/>
      <c r="G362" s="4"/>
      <c r="H362" s="4"/>
      <c r="I362" s="8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82"/>
      <c r="B363" s="82"/>
      <c r="C363" s="83"/>
      <c r="D363" s="4"/>
      <c r="E363" s="4"/>
      <c r="F363" s="4"/>
      <c r="G363" s="4"/>
      <c r="H363" s="4"/>
      <c r="I363" s="8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82"/>
      <c r="B364" s="82"/>
      <c r="C364" s="83"/>
      <c r="D364" s="4"/>
      <c r="E364" s="4"/>
      <c r="F364" s="4"/>
      <c r="G364" s="4"/>
      <c r="H364" s="4"/>
      <c r="I364" s="8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82"/>
      <c r="B365" s="82"/>
      <c r="C365" s="83"/>
      <c r="D365" s="4"/>
      <c r="E365" s="4"/>
      <c r="F365" s="4"/>
      <c r="G365" s="4"/>
      <c r="H365" s="4"/>
      <c r="I365" s="8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82"/>
      <c r="B366" s="82"/>
      <c r="C366" s="83"/>
      <c r="D366" s="4"/>
      <c r="E366" s="4"/>
      <c r="F366" s="4"/>
      <c r="G366" s="4"/>
      <c r="H366" s="4"/>
      <c r="I366" s="8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82"/>
      <c r="B367" s="82"/>
      <c r="C367" s="83"/>
      <c r="D367" s="4"/>
      <c r="E367" s="4"/>
      <c r="F367" s="4"/>
      <c r="G367" s="4"/>
      <c r="H367" s="4"/>
      <c r="I367" s="8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82"/>
      <c r="B368" s="82"/>
      <c r="C368" s="83"/>
      <c r="D368" s="4"/>
      <c r="E368" s="4"/>
      <c r="F368" s="4"/>
      <c r="G368" s="4"/>
      <c r="H368" s="4"/>
      <c r="I368" s="8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82"/>
      <c r="B369" s="82"/>
      <c r="C369" s="83"/>
      <c r="D369" s="4"/>
      <c r="E369" s="4"/>
      <c r="F369" s="4"/>
      <c r="G369" s="4"/>
      <c r="H369" s="4"/>
      <c r="I369" s="8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82"/>
      <c r="B370" s="82"/>
      <c r="C370" s="83"/>
      <c r="D370" s="4"/>
      <c r="E370" s="4"/>
      <c r="F370" s="4"/>
      <c r="G370" s="4"/>
      <c r="H370" s="4"/>
      <c r="I370" s="8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82"/>
      <c r="B371" s="82"/>
      <c r="C371" s="83"/>
      <c r="D371" s="4"/>
      <c r="E371" s="4"/>
      <c r="F371" s="4"/>
      <c r="G371" s="4"/>
      <c r="H371" s="4"/>
      <c r="I371" s="8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82"/>
      <c r="B372" s="82"/>
      <c r="C372" s="83"/>
      <c r="D372" s="4"/>
      <c r="E372" s="4"/>
      <c r="F372" s="4"/>
      <c r="G372" s="4"/>
      <c r="H372" s="4"/>
      <c r="I372" s="8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82"/>
      <c r="B373" s="82"/>
      <c r="C373" s="83"/>
      <c r="D373" s="4"/>
      <c r="E373" s="4"/>
      <c r="F373" s="4"/>
      <c r="G373" s="4"/>
      <c r="H373" s="4"/>
      <c r="I373" s="8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82"/>
      <c r="B374" s="82"/>
      <c r="C374" s="83"/>
      <c r="D374" s="4"/>
      <c r="E374" s="4"/>
      <c r="F374" s="4"/>
      <c r="G374" s="4"/>
      <c r="H374" s="4"/>
      <c r="I374" s="8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82"/>
      <c r="B375" s="82"/>
      <c r="C375" s="83"/>
      <c r="D375" s="4"/>
      <c r="E375" s="4"/>
      <c r="F375" s="4"/>
      <c r="G375" s="4"/>
      <c r="H375" s="4"/>
      <c r="I375" s="8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82"/>
      <c r="B376" s="82"/>
      <c r="C376" s="83"/>
      <c r="D376" s="4"/>
      <c r="E376" s="4"/>
      <c r="F376" s="4"/>
      <c r="G376" s="4"/>
      <c r="H376" s="4"/>
      <c r="I376" s="8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82"/>
      <c r="B377" s="82"/>
      <c r="C377" s="83"/>
      <c r="D377" s="4"/>
      <c r="E377" s="4"/>
      <c r="F377" s="4"/>
      <c r="G377" s="4"/>
      <c r="H377" s="4"/>
      <c r="I377" s="8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82"/>
      <c r="B378" s="82"/>
      <c r="C378" s="83"/>
      <c r="D378" s="4"/>
      <c r="E378" s="4"/>
      <c r="F378" s="4"/>
      <c r="G378" s="4"/>
      <c r="H378" s="4"/>
      <c r="I378" s="8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82"/>
      <c r="B379" s="82"/>
      <c r="C379" s="83"/>
      <c r="D379" s="4"/>
      <c r="E379" s="4"/>
      <c r="F379" s="4"/>
      <c r="G379" s="4"/>
      <c r="H379" s="4"/>
      <c r="I379" s="8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82"/>
      <c r="B380" s="82"/>
      <c r="C380" s="83"/>
      <c r="D380" s="4"/>
      <c r="E380" s="4"/>
      <c r="F380" s="4"/>
      <c r="G380" s="4"/>
      <c r="H380" s="4"/>
      <c r="I380" s="8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82"/>
      <c r="B381" s="82"/>
      <c r="C381" s="83"/>
      <c r="D381" s="4"/>
      <c r="E381" s="4"/>
      <c r="F381" s="4"/>
      <c r="G381" s="4"/>
      <c r="H381" s="4"/>
      <c r="I381" s="8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82"/>
      <c r="B382" s="82"/>
      <c r="C382" s="83"/>
      <c r="D382" s="4"/>
      <c r="E382" s="4"/>
      <c r="F382" s="4"/>
      <c r="G382" s="4"/>
      <c r="H382" s="4"/>
      <c r="I382" s="8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82"/>
      <c r="B383" s="82"/>
      <c r="C383" s="83"/>
      <c r="D383" s="4"/>
      <c r="E383" s="4"/>
      <c r="F383" s="4"/>
      <c r="G383" s="4"/>
      <c r="H383" s="4"/>
      <c r="I383" s="8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82"/>
      <c r="B384" s="82"/>
      <c r="C384" s="83"/>
      <c r="D384" s="4"/>
      <c r="E384" s="4"/>
      <c r="F384" s="4"/>
      <c r="G384" s="4"/>
      <c r="H384" s="4"/>
      <c r="I384" s="8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82"/>
      <c r="B385" s="82"/>
      <c r="C385" s="83"/>
      <c r="D385" s="4"/>
      <c r="E385" s="4"/>
      <c r="F385" s="4"/>
      <c r="G385" s="4"/>
      <c r="H385" s="4"/>
      <c r="I385" s="8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82"/>
      <c r="B386" s="82"/>
      <c r="C386" s="83"/>
      <c r="D386" s="4"/>
      <c r="E386" s="4"/>
      <c r="F386" s="4"/>
      <c r="G386" s="4"/>
      <c r="H386" s="4"/>
      <c r="I386" s="8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82"/>
      <c r="B387" s="82"/>
      <c r="C387" s="83"/>
      <c r="D387" s="4"/>
      <c r="E387" s="4"/>
      <c r="F387" s="4"/>
      <c r="G387" s="4"/>
      <c r="H387" s="4"/>
      <c r="I387" s="8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82"/>
      <c r="B388" s="82"/>
      <c r="C388" s="83"/>
      <c r="D388" s="4"/>
      <c r="E388" s="4"/>
      <c r="F388" s="4"/>
      <c r="G388" s="4"/>
      <c r="H388" s="4"/>
      <c r="I388" s="8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82"/>
      <c r="B389" s="82"/>
      <c r="C389" s="83"/>
      <c r="D389" s="4"/>
      <c r="E389" s="4"/>
      <c r="F389" s="4"/>
      <c r="G389" s="4"/>
      <c r="H389" s="4"/>
      <c r="I389" s="8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82"/>
      <c r="B390" s="82"/>
      <c r="C390" s="83"/>
      <c r="D390" s="4"/>
      <c r="E390" s="4"/>
      <c r="F390" s="4"/>
      <c r="G390" s="4"/>
      <c r="H390" s="4"/>
      <c r="I390" s="8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82"/>
      <c r="B391" s="82"/>
      <c r="C391" s="83"/>
      <c r="D391" s="4"/>
      <c r="E391" s="4"/>
      <c r="F391" s="4"/>
      <c r="G391" s="4"/>
      <c r="H391" s="4"/>
      <c r="I391" s="8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82"/>
      <c r="B392" s="82"/>
      <c r="C392" s="83"/>
      <c r="D392" s="4"/>
      <c r="E392" s="4"/>
      <c r="F392" s="4"/>
      <c r="G392" s="4"/>
      <c r="H392" s="4"/>
      <c r="I392" s="8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82"/>
      <c r="B393" s="82"/>
      <c r="C393" s="83"/>
      <c r="D393" s="4"/>
      <c r="E393" s="4"/>
      <c r="F393" s="4"/>
      <c r="G393" s="4"/>
      <c r="H393" s="4"/>
      <c r="I393" s="8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82"/>
      <c r="B394" s="82"/>
      <c r="C394" s="83"/>
      <c r="D394" s="4"/>
      <c r="E394" s="4"/>
      <c r="F394" s="4"/>
      <c r="G394" s="4"/>
      <c r="H394" s="4"/>
      <c r="I394" s="8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82"/>
      <c r="B395" s="82"/>
      <c r="C395" s="83"/>
      <c r="D395" s="4"/>
      <c r="E395" s="4"/>
      <c r="F395" s="4"/>
      <c r="G395" s="4"/>
      <c r="H395" s="4"/>
      <c r="I395" s="8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82"/>
      <c r="B396" s="82"/>
      <c r="C396" s="83"/>
      <c r="D396" s="4"/>
      <c r="E396" s="4"/>
      <c r="F396" s="4"/>
      <c r="G396" s="4"/>
      <c r="H396" s="4"/>
      <c r="I396" s="8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82"/>
      <c r="B397" s="82"/>
      <c r="C397" s="83"/>
      <c r="D397" s="4"/>
      <c r="E397" s="4"/>
      <c r="F397" s="4"/>
      <c r="G397" s="4"/>
      <c r="H397" s="4"/>
      <c r="I397" s="8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82"/>
      <c r="B398" s="82"/>
      <c r="C398" s="83"/>
      <c r="D398" s="4"/>
      <c r="E398" s="4"/>
      <c r="F398" s="4"/>
      <c r="G398" s="4"/>
      <c r="H398" s="4"/>
      <c r="I398" s="8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82"/>
      <c r="B399" s="82"/>
      <c r="C399" s="83"/>
      <c r="D399" s="4"/>
      <c r="E399" s="4"/>
      <c r="F399" s="4"/>
      <c r="G399" s="4"/>
      <c r="H399" s="4"/>
      <c r="I399" s="8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82"/>
      <c r="B400" s="82"/>
      <c r="C400" s="83"/>
      <c r="D400" s="4"/>
      <c r="E400" s="4"/>
      <c r="F400" s="4"/>
      <c r="G400" s="4"/>
      <c r="H400" s="4"/>
      <c r="I400" s="8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82"/>
      <c r="B401" s="82"/>
      <c r="C401" s="83"/>
      <c r="D401" s="4"/>
      <c r="E401" s="4"/>
      <c r="F401" s="4"/>
      <c r="G401" s="4"/>
      <c r="H401" s="4"/>
      <c r="I401" s="8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82"/>
      <c r="B402" s="82"/>
      <c r="C402" s="83"/>
      <c r="D402" s="4"/>
      <c r="E402" s="4"/>
      <c r="F402" s="4"/>
      <c r="G402" s="4"/>
      <c r="H402" s="4"/>
      <c r="I402" s="8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82"/>
      <c r="B403" s="82"/>
      <c r="C403" s="83"/>
      <c r="D403" s="4"/>
      <c r="E403" s="4"/>
      <c r="F403" s="4"/>
      <c r="G403" s="4"/>
      <c r="H403" s="4"/>
      <c r="I403" s="8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82"/>
      <c r="B404" s="82"/>
      <c r="C404" s="83"/>
      <c r="D404" s="4"/>
      <c r="E404" s="4"/>
      <c r="F404" s="4"/>
      <c r="G404" s="4"/>
      <c r="H404" s="4"/>
      <c r="I404" s="8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82"/>
      <c r="B405" s="82"/>
      <c r="C405" s="83"/>
      <c r="D405" s="4"/>
      <c r="E405" s="4"/>
      <c r="F405" s="4"/>
      <c r="G405" s="4"/>
      <c r="H405" s="4"/>
      <c r="I405" s="8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82"/>
      <c r="B406" s="82"/>
      <c r="C406" s="83"/>
      <c r="D406" s="4"/>
      <c r="E406" s="4"/>
      <c r="F406" s="4"/>
      <c r="G406" s="4"/>
      <c r="H406" s="4"/>
      <c r="I406" s="8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82"/>
      <c r="B407" s="82"/>
      <c r="C407" s="83"/>
      <c r="D407" s="4"/>
      <c r="E407" s="4"/>
      <c r="F407" s="4"/>
      <c r="G407" s="4"/>
      <c r="H407" s="4"/>
      <c r="I407" s="8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82"/>
      <c r="B408" s="82"/>
      <c r="C408" s="83"/>
      <c r="D408" s="4"/>
      <c r="E408" s="4"/>
      <c r="F408" s="4"/>
      <c r="G408" s="4"/>
      <c r="H408" s="4"/>
      <c r="I408" s="8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82"/>
      <c r="B409" s="82"/>
      <c r="C409" s="83"/>
      <c r="D409" s="4"/>
      <c r="E409" s="4"/>
      <c r="F409" s="4"/>
      <c r="G409" s="4"/>
      <c r="H409" s="4"/>
      <c r="I409" s="8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82"/>
      <c r="B410" s="82"/>
      <c r="C410" s="83"/>
      <c r="D410" s="4"/>
      <c r="E410" s="4"/>
      <c r="F410" s="4"/>
      <c r="G410" s="4"/>
      <c r="H410" s="4"/>
      <c r="I410" s="8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82"/>
      <c r="B411" s="82"/>
      <c r="C411" s="83"/>
      <c r="D411" s="4"/>
      <c r="E411" s="4"/>
      <c r="F411" s="4"/>
      <c r="G411" s="4"/>
      <c r="H411" s="4"/>
      <c r="I411" s="8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82"/>
      <c r="B412" s="82"/>
      <c r="C412" s="83"/>
      <c r="D412" s="4"/>
      <c r="E412" s="4"/>
      <c r="F412" s="4"/>
      <c r="G412" s="4"/>
      <c r="H412" s="4"/>
      <c r="I412" s="8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82"/>
      <c r="B413" s="82"/>
      <c r="C413" s="83"/>
      <c r="D413" s="4"/>
      <c r="E413" s="4"/>
      <c r="F413" s="4"/>
      <c r="G413" s="4"/>
      <c r="H413" s="4"/>
      <c r="I413" s="8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82"/>
      <c r="B414" s="82"/>
      <c r="C414" s="83"/>
      <c r="D414" s="4"/>
      <c r="E414" s="4"/>
      <c r="F414" s="4"/>
      <c r="G414" s="4"/>
      <c r="H414" s="4"/>
      <c r="I414" s="8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82"/>
      <c r="B415" s="82"/>
      <c r="C415" s="83"/>
      <c r="D415" s="4"/>
      <c r="E415" s="4"/>
      <c r="F415" s="4"/>
      <c r="G415" s="4"/>
      <c r="H415" s="4"/>
      <c r="I415" s="8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82"/>
      <c r="B416" s="82"/>
      <c r="C416" s="83"/>
      <c r="D416" s="4"/>
      <c r="E416" s="4"/>
      <c r="F416" s="4"/>
      <c r="G416" s="4"/>
      <c r="H416" s="4"/>
      <c r="I416" s="8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82"/>
      <c r="B417" s="82"/>
      <c r="C417" s="83"/>
      <c r="D417" s="4"/>
      <c r="E417" s="4"/>
      <c r="F417" s="4"/>
      <c r="G417" s="4"/>
      <c r="H417" s="4"/>
      <c r="I417" s="8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82"/>
      <c r="B418" s="82"/>
      <c r="C418" s="83"/>
      <c r="D418" s="4"/>
      <c r="E418" s="4"/>
      <c r="F418" s="4"/>
      <c r="G418" s="4"/>
      <c r="H418" s="4"/>
      <c r="I418" s="8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82"/>
      <c r="B419" s="82"/>
      <c r="C419" s="83"/>
      <c r="D419" s="4"/>
      <c r="E419" s="4"/>
      <c r="F419" s="4"/>
      <c r="G419" s="4"/>
      <c r="H419" s="4"/>
      <c r="I419" s="8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82"/>
      <c r="B420" s="82"/>
      <c r="C420" s="83"/>
      <c r="D420" s="4"/>
      <c r="E420" s="4"/>
      <c r="F420" s="4"/>
      <c r="G420" s="4"/>
      <c r="H420" s="4"/>
      <c r="I420" s="8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82"/>
      <c r="B421" s="82"/>
      <c r="C421" s="83"/>
      <c r="D421" s="4"/>
      <c r="E421" s="4"/>
      <c r="F421" s="4"/>
      <c r="G421" s="4"/>
      <c r="H421" s="4"/>
      <c r="I421" s="8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82"/>
      <c r="B422" s="82"/>
      <c r="C422" s="83"/>
      <c r="D422" s="4"/>
      <c r="E422" s="4"/>
      <c r="F422" s="4"/>
      <c r="G422" s="4"/>
      <c r="H422" s="4"/>
      <c r="I422" s="8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82"/>
      <c r="B423" s="82"/>
      <c r="C423" s="83"/>
      <c r="D423" s="4"/>
      <c r="E423" s="4"/>
      <c r="F423" s="4"/>
      <c r="G423" s="4"/>
      <c r="H423" s="4"/>
      <c r="I423" s="8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82"/>
      <c r="B424" s="82"/>
      <c r="C424" s="83"/>
      <c r="D424" s="4"/>
      <c r="E424" s="4"/>
      <c r="F424" s="4"/>
      <c r="G424" s="4"/>
      <c r="H424" s="4"/>
      <c r="I424" s="8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82"/>
      <c r="B425" s="82"/>
      <c r="C425" s="83"/>
      <c r="D425" s="4"/>
      <c r="E425" s="4"/>
      <c r="F425" s="4"/>
      <c r="G425" s="4"/>
      <c r="H425" s="4"/>
      <c r="I425" s="8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82"/>
      <c r="B426" s="82"/>
      <c r="C426" s="83"/>
      <c r="D426" s="4"/>
      <c r="E426" s="4"/>
      <c r="F426" s="4"/>
      <c r="G426" s="4"/>
      <c r="H426" s="4"/>
      <c r="I426" s="8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82"/>
      <c r="B427" s="82"/>
      <c r="C427" s="83"/>
      <c r="D427" s="4"/>
      <c r="E427" s="4"/>
      <c r="F427" s="4"/>
      <c r="G427" s="4"/>
      <c r="H427" s="4"/>
      <c r="I427" s="8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82"/>
      <c r="B428" s="82"/>
      <c r="C428" s="83"/>
      <c r="D428" s="4"/>
      <c r="E428" s="4"/>
      <c r="F428" s="4"/>
      <c r="G428" s="4"/>
      <c r="H428" s="4"/>
      <c r="I428" s="8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82"/>
      <c r="B429" s="82"/>
      <c r="C429" s="83"/>
      <c r="D429" s="4"/>
      <c r="E429" s="4"/>
      <c r="F429" s="4"/>
      <c r="G429" s="4"/>
      <c r="H429" s="4"/>
      <c r="I429" s="8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82"/>
      <c r="B430" s="82"/>
      <c r="C430" s="83"/>
      <c r="D430" s="4"/>
      <c r="E430" s="4"/>
      <c r="F430" s="4"/>
      <c r="G430" s="4"/>
      <c r="H430" s="4"/>
      <c r="I430" s="8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82"/>
      <c r="B431" s="82"/>
      <c r="C431" s="83"/>
      <c r="D431" s="4"/>
      <c r="E431" s="4"/>
      <c r="F431" s="4"/>
      <c r="G431" s="4"/>
      <c r="H431" s="4"/>
      <c r="I431" s="8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82"/>
      <c r="B432" s="82"/>
      <c r="C432" s="83"/>
      <c r="D432" s="4"/>
      <c r="E432" s="4"/>
      <c r="F432" s="4"/>
      <c r="G432" s="4"/>
      <c r="H432" s="4"/>
      <c r="I432" s="8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82"/>
      <c r="B433" s="82"/>
      <c r="C433" s="83"/>
      <c r="D433" s="4"/>
      <c r="E433" s="4"/>
      <c r="F433" s="4"/>
      <c r="G433" s="4"/>
      <c r="H433" s="4"/>
      <c r="I433" s="8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82"/>
      <c r="B434" s="82"/>
      <c r="C434" s="83"/>
      <c r="D434" s="4"/>
      <c r="E434" s="4"/>
      <c r="F434" s="4"/>
      <c r="G434" s="4"/>
      <c r="H434" s="4"/>
      <c r="I434" s="8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82"/>
      <c r="B435" s="82"/>
      <c r="C435" s="83"/>
      <c r="D435" s="4"/>
      <c r="E435" s="4"/>
      <c r="F435" s="4"/>
      <c r="G435" s="4"/>
      <c r="H435" s="4"/>
      <c r="I435" s="8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82"/>
      <c r="B436" s="82"/>
      <c r="C436" s="83"/>
      <c r="D436" s="4"/>
      <c r="E436" s="4"/>
      <c r="F436" s="4"/>
      <c r="G436" s="4"/>
      <c r="H436" s="4"/>
      <c r="I436" s="8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82"/>
      <c r="B437" s="82"/>
      <c r="C437" s="83"/>
      <c r="D437" s="4"/>
      <c r="E437" s="4"/>
      <c r="F437" s="4"/>
      <c r="G437" s="4"/>
      <c r="H437" s="4"/>
      <c r="I437" s="8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82"/>
      <c r="B438" s="82"/>
      <c r="C438" s="83"/>
      <c r="D438" s="4"/>
      <c r="E438" s="4"/>
      <c r="F438" s="4"/>
      <c r="G438" s="4"/>
      <c r="H438" s="4"/>
      <c r="I438" s="8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82"/>
      <c r="B439" s="82"/>
      <c r="C439" s="83"/>
      <c r="D439" s="4"/>
      <c r="E439" s="4"/>
      <c r="F439" s="4"/>
      <c r="G439" s="4"/>
      <c r="H439" s="4"/>
      <c r="I439" s="8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82"/>
      <c r="B440" s="82"/>
      <c r="C440" s="83"/>
      <c r="D440" s="4"/>
      <c r="E440" s="4"/>
      <c r="F440" s="4"/>
      <c r="G440" s="4"/>
      <c r="H440" s="4"/>
      <c r="I440" s="8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82"/>
      <c r="B441" s="82"/>
      <c r="C441" s="83"/>
      <c r="D441" s="4"/>
      <c r="E441" s="4"/>
      <c r="F441" s="4"/>
      <c r="G441" s="4"/>
      <c r="H441" s="4"/>
      <c r="I441" s="8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82"/>
      <c r="B442" s="82"/>
      <c r="C442" s="83"/>
      <c r="D442" s="4"/>
      <c r="E442" s="4"/>
      <c r="F442" s="4"/>
      <c r="G442" s="4"/>
      <c r="H442" s="4"/>
      <c r="I442" s="8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82"/>
      <c r="B443" s="82"/>
      <c r="C443" s="83"/>
      <c r="D443" s="4"/>
      <c r="E443" s="4"/>
      <c r="F443" s="4"/>
      <c r="G443" s="4"/>
      <c r="H443" s="4"/>
      <c r="I443" s="8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82"/>
      <c r="B444" s="82"/>
      <c r="C444" s="83"/>
      <c r="D444" s="4"/>
      <c r="E444" s="4"/>
      <c r="F444" s="4"/>
      <c r="G444" s="4"/>
      <c r="H444" s="4"/>
      <c r="I444" s="8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82"/>
      <c r="B445" s="82"/>
      <c r="C445" s="83"/>
      <c r="D445" s="4"/>
      <c r="E445" s="4"/>
      <c r="F445" s="4"/>
      <c r="G445" s="4"/>
      <c r="H445" s="4"/>
      <c r="I445" s="8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82"/>
      <c r="B446" s="82"/>
      <c r="C446" s="83"/>
      <c r="D446" s="4"/>
      <c r="E446" s="4"/>
      <c r="F446" s="4"/>
      <c r="G446" s="4"/>
      <c r="H446" s="4"/>
      <c r="I446" s="8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82"/>
      <c r="B447" s="82"/>
      <c r="C447" s="83"/>
      <c r="D447" s="4"/>
      <c r="E447" s="4"/>
      <c r="F447" s="4"/>
      <c r="G447" s="4"/>
      <c r="H447" s="4"/>
      <c r="I447" s="8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82"/>
      <c r="B448" s="82"/>
      <c r="C448" s="83"/>
      <c r="D448" s="4"/>
      <c r="E448" s="4"/>
      <c r="F448" s="4"/>
      <c r="G448" s="4"/>
      <c r="H448" s="4"/>
      <c r="I448" s="8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82"/>
      <c r="B449" s="82"/>
      <c r="C449" s="83"/>
      <c r="D449" s="4"/>
      <c r="E449" s="4"/>
      <c r="F449" s="4"/>
      <c r="G449" s="4"/>
      <c r="H449" s="4"/>
      <c r="I449" s="8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82"/>
      <c r="B450" s="82"/>
      <c r="C450" s="83"/>
      <c r="D450" s="4"/>
      <c r="E450" s="4"/>
      <c r="F450" s="4"/>
      <c r="G450" s="4"/>
      <c r="H450" s="4"/>
      <c r="I450" s="8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82"/>
      <c r="B451" s="82"/>
      <c r="C451" s="83"/>
      <c r="D451" s="4"/>
      <c r="E451" s="4"/>
      <c r="F451" s="4"/>
      <c r="G451" s="4"/>
      <c r="H451" s="4"/>
      <c r="I451" s="8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82"/>
      <c r="B452" s="82"/>
      <c r="C452" s="83"/>
      <c r="D452" s="4"/>
      <c r="E452" s="4"/>
      <c r="F452" s="4"/>
      <c r="G452" s="4"/>
      <c r="H452" s="4"/>
      <c r="I452" s="8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82"/>
      <c r="B453" s="82"/>
      <c r="C453" s="83"/>
      <c r="D453" s="4"/>
      <c r="E453" s="4"/>
      <c r="F453" s="4"/>
      <c r="G453" s="4"/>
      <c r="H453" s="4"/>
      <c r="I453" s="8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82"/>
      <c r="B454" s="82"/>
      <c r="C454" s="83"/>
      <c r="D454" s="4"/>
      <c r="E454" s="4"/>
      <c r="F454" s="4"/>
      <c r="G454" s="4"/>
      <c r="H454" s="4"/>
      <c r="I454" s="8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82"/>
      <c r="B455" s="82"/>
      <c r="C455" s="83"/>
      <c r="D455" s="4"/>
      <c r="E455" s="4"/>
      <c r="F455" s="4"/>
      <c r="G455" s="4"/>
      <c r="H455" s="4"/>
      <c r="I455" s="8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82"/>
      <c r="B456" s="82"/>
      <c r="C456" s="83"/>
      <c r="D456" s="4"/>
      <c r="E456" s="4"/>
      <c r="F456" s="4"/>
      <c r="G456" s="4"/>
      <c r="H456" s="4"/>
      <c r="I456" s="8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82"/>
      <c r="B457" s="82"/>
      <c r="C457" s="83"/>
      <c r="D457" s="4"/>
      <c r="E457" s="4"/>
      <c r="F457" s="4"/>
      <c r="G457" s="4"/>
      <c r="H457" s="4"/>
      <c r="I457" s="8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82"/>
      <c r="B458" s="82"/>
      <c r="C458" s="83"/>
      <c r="D458" s="4"/>
      <c r="E458" s="4"/>
      <c r="F458" s="4"/>
      <c r="G458" s="4"/>
      <c r="H458" s="4"/>
      <c r="I458" s="8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82"/>
      <c r="B459" s="82"/>
      <c r="C459" s="83"/>
      <c r="D459" s="4"/>
      <c r="E459" s="4"/>
      <c r="F459" s="4"/>
      <c r="G459" s="4"/>
      <c r="H459" s="4"/>
      <c r="I459" s="8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82"/>
      <c r="B460" s="82"/>
      <c r="C460" s="83"/>
      <c r="D460" s="4"/>
      <c r="E460" s="4"/>
      <c r="F460" s="4"/>
      <c r="G460" s="4"/>
      <c r="H460" s="4"/>
      <c r="I460" s="8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82"/>
      <c r="B461" s="82"/>
      <c r="C461" s="83"/>
      <c r="D461" s="4"/>
      <c r="E461" s="4"/>
      <c r="F461" s="4"/>
      <c r="G461" s="4"/>
      <c r="H461" s="4"/>
      <c r="I461" s="8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82"/>
      <c r="B462" s="82"/>
      <c r="C462" s="83"/>
      <c r="D462" s="4"/>
      <c r="E462" s="4"/>
      <c r="F462" s="4"/>
      <c r="G462" s="4"/>
      <c r="H462" s="4"/>
      <c r="I462" s="8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82"/>
      <c r="B463" s="82"/>
      <c r="C463" s="83"/>
      <c r="D463" s="4"/>
      <c r="E463" s="4"/>
      <c r="F463" s="4"/>
      <c r="G463" s="4"/>
      <c r="H463" s="4"/>
      <c r="I463" s="8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82"/>
      <c r="B464" s="82"/>
      <c r="C464" s="83"/>
      <c r="D464" s="4"/>
      <c r="E464" s="4"/>
      <c r="F464" s="4"/>
      <c r="G464" s="4"/>
      <c r="H464" s="4"/>
      <c r="I464" s="8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82"/>
      <c r="B465" s="82"/>
      <c r="C465" s="83"/>
      <c r="D465" s="4"/>
      <c r="E465" s="4"/>
      <c r="F465" s="4"/>
      <c r="G465" s="4"/>
      <c r="H465" s="4"/>
      <c r="I465" s="8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82"/>
      <c r="B466" s="82"/>
      <c r="C466" s="83"/>
      <c r="D466" s="4"/>
      <c r="E466" s="4"/>
      <c r="F466" s="4"/>
      <c r="G466" s="4"/>
      <c r="H466" s="4"/>
      <c r="I466" s="8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82"/>
      <c r="B467" s="82"/>
      <c r="C467" s="83"/>
      <c r="D467" s="4"/>
      <c r="E467" s="4"/>
      <c r="F467" s="4"/>
      <c r="G467" s="4"/>
      <c r="H467" s="4"/>
      <c r="I467" s="8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82"/>
      <c r="B468" s="82"/>
      <c r="C468" s="83"/>
      <c r="D468" s="4"/>
      <c r="E468" s="4"/>
      <c r="F468" s="4"/>
      <c r="G468" s="4"/>
      <c r="H468" s="4"/>
      <c r="I468" s="8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82"/>
      <c r="B469" s="82"/>
      <c r="C469" s="83"/>
      <c r="D469" s="4"/>
      <c r="E469" s="4"/>
      <c r="F469" s="4"/>
      <c r="G469" s="4"/>
      <c r="H469" s="4"/>
      <c r="I469" s="8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82"/>
      <c r="B470" s="82"/>
      <c r="C470" s="83"/>
      <c r="D470" s="4"/>
      <c r="E470" s="4"/>
      <c r="F470" s="4"/>
      <c r="G470" s="4"/>
      <c r="H470" s="4"/>
      <c r="I470" s="8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82"/>
      <c r="B471" s="82"/>
      <c r="C471" s="83"/>
      <c r="D471" s="4"/>
      <c r="E471" s="4"/>
      <c r="F471" s="4"/>
      <c r="G471" s="4"/>
      <c r="H471" s="4"/>
      <c r="I471" s="8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82"/>
      <c r="B472" s="82"/>
      <c r="C472" s="83"/>
      <c r="D472" s="4"/>
      <c r="E472" s="4"/>
      <c r="F472" s="4"/>
      <c r="G472" s="4"/>
      <c r="H472" s="4"/>
      <c r="I472" s="8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82"/>
      <c r="B473" s="82"/>
      <c r="C473" s="83"/>
      <c r="D473" s="4"/>
      <c r="E473" s="4"/>
      <c r="F473" s="4"/>
      <c r="G473" s="4"/>
      <c r="H473" s="4"/>
      <c r="I473" s="8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82"/>
      <c r="B474" s="82"/>
      <c r="C474" s="83"/>
      <c r="D474" s="4"/>
      <c r="E474" s="4"/>
      <c r="F474" s="4"/>
      <c r="G474" s="4"/>
      <c r="H474" s="4"/>
      <c r="I474" s="8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82"/>
      <c r="B475" s="82"/>
      <c r="C475" s="83"/>
      <c r="D475" s="4"/>
      <c r="E475" s="4"/>
      <c r="F475" s="4"/>
      <c r="G475" s="4"/>
      <c r="H475" s="4"/>
      <c r="I475" s="8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82"/>
      <c r="B476" s="82"/>
      <c r="C476" s="83"/>
      <c r="D476" s="4"/>
      <c r="E476" s="4"/>
      <c r="F476" s="4"/>
      <c r="G476" s="4"/>
      <c r="H476" s="4"/>
      <c r="I476" s="8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82"/>
      <c r="B477" s="82"/>
      <c r="C477" s="83"/>
      <c r="D477" s="4"/>
      <c r="E477" s="4"/>
      <c r="F477" s="4"/>
      <c r="G477" s="4"/>
      <c r="H477" s="4"/>
      <c r="I477" s="8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82"/>
      <c r="B478" s="82"/>
      <c r="C478" s="83"/>
      <c r="D478" s="4"/>
      <c r="E478" s="4"/>
      <c r="F478" s="4"/>
      <c r="G478" s="4"/>
      <c r="H478" s="4"/>
      <c r="I478" s="8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82"/>
      <c r="B479" s="82"/>
      <c r="C479" s="83"/>
      <c r="D479" s="4"/>
      <c r="E479" s="4"/>
      <c r="F479" s="4"/>
      <c r="G479" s="4"/>
      <c r="H479" s="4"/>
      <c r="I479" s="8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82"/>
      <c r="B480" s="82"/>
      <c r="C480" s="83"/>
      <c r="D480" s="4"/>
      <c r="E480" s="4"/>
      <c r="F480" s="4"/>
      <c r="G480" s="4"/>
      <c r="H480" s="4"/>
      <c r="I480" s="8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82"/>
      <c r="B481" s="82"/>
      <c r="C481" s="83"/>
      <c r="D481" s="4"/>
      <c r="E481" s="4"/>
      <c r="F481" s="4"/>
      <c r="G481" s="4"/>
      <c r="H481" s="4"/>
      <c r="I481" s="8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82"/>
      <c r="B482" s="82"/>
      <c r="C482" s="83"/>
      <c r="D482" s="4"/>
      <c r="E482" s="4"/>
      <c r="F482" s="4"/>
      <c r="G482" s="4"/>
      <c r="H482" s="4"/>
      <c r="I482" s="8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82"/>
      <c r="B483" s="82"/>
      <c r="C483" s="83"/>
      <c r="D483" s="4"/>
      <c r="E483" s="4"/>
      <c r="F483" s="4"/>
      <c r="G483" s="4"/>
      <c r="H483" s="4"/>
      <c r="I483" s="8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82"/>
      <c r="B484" s="82"/>
      <c r="C484" s="83"/>
      <c r="D484" s="4"/>
      <c r="E484" s="4"/>
      <c r="F484" s="4"/>
      <c r="G484" s="4"/>
      <c r="H484" s="4"/>
      <c r="I484" s="8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82"/>
      <c r="B485" s="82"/>
      <c r="C485" s="83"/>
      <c r="D485" s="4"/>
      <c r="E485" s="4"/>
      <c r="F485" s="4"/>
      <c r="G485" s="4"/>
      <c r="H485" s="4"/>
      <c r="I485" s="8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82"/>
      <c r="B486" s="82"/>
      <c r="C486" s="83"/>
      <c r="D486" s="4"/>
      <c r="E486" s="4"/>
      <c r="F486" s="4"/>
      <c r="G486" s="4"/>
      <c r="H486" s="4"/>
      <c r="I486" s="8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82"/>
      <c r="B487" s="82"/>
      <c r="C487" s="83"/>
      <c r="D487" s="4"/>
      <c r="E487" s="4"/>
      <c r="F487" s="4"/>
      <c r="G487" s="4"/>
      <c r="H487" s="4"/>
      <c r="I487" s="8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82"/>
      <c r="B488" s="82"/>
      <c r="C488" s="83"/>
      <c r="D488" s="4"/>
      <c r="E488" s="4"/>
      <c r="F488" s="4"/>
      <c r="G488" s="4"/>
      <c r="H488" s="4"/>
      <c r="I488" s="8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82"/>
      <c r="B489" s="82"/>
      <c r="C489" s="83"/>
      <c r="D489" s="4"/>
      <c r="E489" s="4"/>
      <c r="F489" s="4"/>
      <c r="G489" s="4"/>
      <c r="H489" s="4"/>
      <c r="I489" s="8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82"/>
      <c r="B490" s="82"/>
      <c r="C490" s="83"/>
      <c r="D490" s="4"/>
      <c r="E490" s="4"/>
      <c r="F490" s="4"/>
      <c r="G490" s="4"/>
      <c r="H490" s="4"/>
      <c r="I490" s="8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82"/>
      <c r="B491" s="82"/>
      <c r="C491" s="83"/>
      <c r="D491" s="4"/>
      <c r="E491" s="4"/>
      <c r="F491" s="4"/>
      <c r="G491" s="4"/>
      <c r="H491" s="4"/>
      <c r="I491" s="8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82"/>
      <c r="B492" s="82"/>
      <c r="C492" s="83"/>
      <c r="D492" s="4"/>
      <c r="E492" s="4"/>
      <c r="F492" s="4"/>
      <c r="G492" s="4"/>
      <c r="H492" s="4"/>
      <c r="I492" s="8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82"/>
      <c r="B493" s="82"/>
      <c r="C493" s="83"/>
      <c r="D493" s="4"/>
      <c r="E493" s="4"/>
      <c r="F493" s="4"/>
      <c r="G493" s="4"/>
      <c r="H493" s="4"/>
      <c r="I493" s="8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82"/>
      <c r="B494" s="82"/>
      <c r="C494" s="83"/>
      <c r="D494" s="4"/>
      <c r="E494" s="4"/>
      <c r="F494" s="4"/>
      <c r="G494" s="4"/>
      <c r="H494" s="4"/>
      <c r="I494" s="8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82"/>
      <c r="B495" s="82"/>
      <c r="C495" s="83"/>
      <c r="D495" s="4"/>
      <c r="E495" s="4"/>
      <c r="F495" s="4"/>
      <c r="G495" s="4"/>
      <c r="H495" s="4"/>
      <c r="I495" s="8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82"/>
      <c r="B496" s="82"/>
      <c r="C496" s="83"/>
      <c r="D496" s="4"/>
      <c r="E496" s="4"/>
      <c r="F496" s="4"/>
      <c r="G496" s="4"/>
      <c r="H496" s="4"/>
      <c r="I496" s="8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82"/>
      <c r="B497" s="82"/>
      <c r="C497" s="83"/>
      <c r="D497" s="4"/>
      <c r="E497" s="4"/>
      <c r="F497" s="4"/>
      <c r="G497" s="4"/>
      <c r="H497" s="4"/>
      <c r="I497" s="8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82"/>
      <c r="B498" s="82"/>
      <c r="C498" s="83"/>
      <c r="D498" s="4"/>
      <c r="E498" s="4"/>
      <c r="F498" s="4"/>
      <c r="G498" s="4"/>
      <c r="H498" s="4"/>
      <c r="I498" s="8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82"/>
      <c r="B499" s="82"/>
      <c r="C499" s="83"/>
      <c r="D499" s="4"/>
      <c r="E499" s="4"/>
      <c r="F499" s="4"/>
      <c r="G499" s="4"/>
      <c r="H499" s="4"/>
      <c r="I499" s="8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82"/>
      <c r="B500" s="82"/>
      <c r="C500" s="83"/>
      <c r="D500" s="4"/>
      <c r="E500" s="4"/>
      <c r="F500" s="4"/>
      <c r="G500" s="4"/>
      <c r="H500" s="4"/>
      <c r="I500" s="8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82"/>
      <c r="B501" s="82"/>
      <c r="C501" s="83"/>
      <c r="D501" s="4"/>
      <c r="E501" s="4"/>
      <c r="F501" s="4"/>
      <c r="G501" s="4"/>
      <c r="H501" s="4"/>
      <c r="I501" s="8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82"/>
      <c r="B502" s="82"/>
      <c r="C502" s="83"/>
      <c r="D502" s="4"/>
      <c r="E502" s="4"/>
      <c r="F502" s="4"/>
      <c r="G502" s="4"/>
      <c r="H502" s="4"/>
      <c r="I502" s="8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82"/>
      <c r="B503" s="82"/>
      <c r="C503" s="83"/>
      <c r="D503" s="4"/>
      <c r="E503" s="4"/>
      <c r="F503" s="4"/>
      <c r="G503" s="4"/>
      <c r="H503" s="4"/>
      <c r="I503" s="8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82"/>
      <c r="B504" s="82"/>
      <c r="C504" s="83"/>
      <c r="D504" s="4"/>
      <c r="E504" s="4"/>
      <c r="F504" s="4"/>
      <c r="G504" s="4"/>
      <c r="H504" s="4"/>
      <c r="I504" s="8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82"/>
      <c r="B505" s="82"/>
      <c r="C505" s="83"/>
      <c r="D505" s="4"/>
      <c r="E505" s="4"/>
      <c r="F505" s="4"/>
      <c r="G505" s="4"/>
      <c r="H505" s="4"/>
      <c r="I505" s="8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82"/>
      <c r="B506" s="82"/>
      <c r="C506" s="83"/>
      <c r="D506" s="4"/>
      <c r="E506" s="4"/>
      <c r="F506" s="4"/>
      <c r="G506" s="4"/>
      <c r="H506" s="4"/>
      <c r="I506" s="8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82"/>
      <c r="B507" s="82"/>
      <c r="C507" s="83"/>
      <c r="D507" s="4"/>
      <c r="E507" s="4"/>
      <c r="F507" s="4"/>
      <c r="G507" s="4"/>
      <c r="H507" s="4"/>
      <c r="I507" s="8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82"/>
      <c r="B508" s="82"/>
      <c r="C508" s="83"/>
      <c r="D508" s="4"/>
      <c r="E508" s="4"/>
      <c r="F508" s="4"/>
      <c r="G508" s="4"/>
      <c r="H508" s="4"/>
      <c r="I508" s="8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82"/>
      <c r="B509" s="82"/>
      <c r="C509" s="83"/>
      <c r="D509" s="4"/>
      <c r="E509" s="4"/>
      <c r="F509" s="4"/>
      <c r="G509" s="4"/>
      <c r="H509" s="4"/>
      <c r="I509" s="8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82"/>
      <c r="B510" s="82"/>
      <c r="C510" s="83"/>
      <c r="D510" s="4"/>
      <c r="E510" s="4"/>
      <c r="F510" s="4"/>
      <c r="G510" s="4"/>
      <c r="H510" s="4"/>
      <c r="I510" s="8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82"/>
      <c r="B511" s="82"/>
      <c r="C511" s="83"/>
      <c r="D511" s="4"/>
      <c r="E511" s="4"/>
      <c r="F511" s="4"/>
      <c r="G511" s="4"/>
      <c r="H511" s="4"/>
      <c r="I511" s="8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82"/>
      <c r="B512" s="82"/>
      <c r="C512" s="83"/>
      <c r="D512" s="4"/>
      <c r="E512" s="4"/>
      <c r="F512" s="4"/>
      <c r="G512" s="4"/>
      <c r="H512" s="4"/>
      <c r="I512" s="8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82"/>
      <c r="B513" s="82"/>
      <c r="C513" s="83"/>
      <c r="D513" s="4"/>
      <c r="E513" s="4"/>
      <c r="F513" s="4"/>
      <c r="G513" s="4"/>
      <c r="H513" s="4"/>
      <c r="I513" s="8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82"/>
      <c r="B514" s="82"/>
      <c r="C514" s="83"/>
      <c r="D514" s="4"/>
      <c r="E514" s="4"/>
      <c r="F514" s="4"/>
      <c r="G514" s="4"/>
      <c r="H514" s="4"/>
      <c r="I514" s="8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82"/>
      <c r="B515" s="82"/>
      <c r="C515" s="83"/>
      <c r="D515" s="4"/>
      <c r="E515" s="4"/>
      <c r="F515" s="4"/>
      <c r="G515" s="4"/>
      <c r="H515" s="4"/>
      <c r="I515" s="8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82"/>
      <c r="B516" s="82"/>
      <c r="C516" s="83"/>
      <c r="D516" s="4"/>
      <c r="E516" s="4"/>
      <c r="F516" s="4"/>
      <c r="G516" s="4"/>
      <c r="H516" s="4"/>
      <c r="I516" s="8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82"/>
      <c r="B517" s="82"/>
      <c r="C517" s="83"/>
      <c r="D517" s="4"/>
      <c r="E517" s="4"/>
      <c r="F517" s="4"/>
      <c r="G517" s="4"/>
      <c r="H517" s="4"/>
      <c r="I517" s="8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82"/>
      <c r="B518" s="82"/>
      <c r="C518" s="83"/>
      <c r="D518" s="4"/>
      <c r="E518" s="4"/>
      <c r="F518" s="4"/>
      <c r="G518" s="4"/>
      <c r="H518" s="4"/>
      <c r="I518" s="8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82"/>
      <c r="B519" s="82"/>
      <c r="C519" s="83"/>
      <c r="D519" s="4"/>
      <c r="E519" s="4"/>
      <c r="F519" s="4"/>
      <c r="G519" s="4"/>
      <c r="H519" s="4"/>
      <c r="I519" s="8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82"/>
      <c r="B520" s="82"/>
      <c r="C520" s="83"/>
      <c r="D520" s="4"/>
      <c r="E520" s="4"/>
      <c r="F520" s="4"/>
      <c r="G520" s="4"/>
      <c r="H520" s="4"/>
      <c r="I520" s="8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82"/>
      <c r="B521" s="82"/>
      <c r="C521" s="83"/>
      <c r="D521" s="4"/>
      <c r="E521" s="4"/>
      <c r="F521" s="4"/>
      <c r="G521" s="4"/>
      <c r="H521" s="4"/>
      <c r="I521" s="8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82"/>
      <c r="B522" s="82"/>
      <c r="C522" s="83"/>
      <c r="D522" s="4"/>
      <c r="E522" s="4"/>
      <c r="F522" s="4"/>
      <c r="G522" s="4"/>
      <c r="H522" s="4"/>
      <c r="I522" s="8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82"/>
      <c r="B523" s="82"/>
      <c r="C523" s="83"/>
      <c r="D523" s="4"/>
      <c r="E523" s="4"/>
      <c r="F523" s="4"/>
      <c r="G523" s="4"/>
      <c r="H523" s="4"/>
      <c r="I523" s="8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82"/>
      <c r="B524" s="82"/>
      <c r="C524" s="83"/>
      <c r="D524" s="4"/>
      <c r="E524" s="4"/>
      <c r="F524" s="4"/>
      <c r="G524" s="4"/>
      <c r="H524" s="4"/>
      <c r="I524" s="8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82"/>
      <c r="B525" s="82"/>
      <c r="C525" s="83"/>
      <c r="D525" s="4"/>
      <c r="E525" s="4"/>
      <c r="F525" s="4"/>
      <c r="G525" s="4"/>
      <c r="H525" s="4"/>
      <c r="I525" s="8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82"/>
      <c r="B526" s="82"/>
      <c r="C526" s="83"/>
      <c r="D526" s="4"/>
      <c r="E526" s="4"/>
      <c r="F526" s="4"/>
      <c r="G526" s="4"/>
      <c r="H526" s="4"/>
      <c r="I526" s="8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82"/>
      <c r="B527" s="82"/>
      <c r="C527" s="83"/>
      <c r="D527" s="4"/>
      <c r="E527" s="4"/>
      <c r="F527" s="4"/>
      <c r="G527" s="4"/>
      <c r="H527" s="4"/>
      <c r="I527" s="8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82"/>
      <c r="B528" s="82"/>
      <c r="C528" s="83"/>
      <c r="D528" s="4"/>
      <c r="E528" s="4"/>
      <c r="F528" s="4"/>
      <c r="G528" s="4"/>
      <c r="H528" s="4"/>
      <c r="I528" s="8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82"/>
      <c r="B529" s="82"/>
      <c r="C529" s="83"/>
      <c r="D529" s="4"/>
      <c r="E529" s="4"/>
      <c r="F529" s="4"/>
      <c r="G529" s="4"/>
      <c r="H529" s="4"/>
      <c r="I529" s="8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82"/>
      <c r="B530" s="82"/>
      <c r="C530" s="83"/>
      <c r="D530" s="4"/>
      <c r="E530" s="4"/>
      <c r="F530" s="4"/>
      <c r="G530" s="4"/>
      <c r="H530" s="4"/>
      <c r="I530" s="8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82"/>
      <c r="B531" s="82"/>
      <c r="C531" s="83"/>
      <c r="D531" s="4"/>
      <c r="E531" s="4"/>
      <c r="F531" s="4"/>
      <c r="G531" s="4"/>
      <c r="H531" s="4"/>
      <c r="I531" s="8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82"/>
      <c r="B532" s="82"/>
      <c r="C532" s="83"/>
      <c r="D532" s="4"/>
      <c r="E532" s="4"/>
      <c r="F532" s="4"/>
      <c r="G532" s="4"/>
      <c r="H532" s="4"/>
      <c r="I532" s="8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82"/>
      <c r="B533" s="82"/>
      <c r="C533" s="83"/>
      <c r="D533" s="4"/>
      <c r="E533" s="4"/>
      <c r="F533" s="4"/>
      <c r="G533" s="4"/>
      <c r="H533" s="4"/>
      <c r="I533" s="8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82"/>
      <c r="B534" s="82"/>
      <c r="C534" s="83"/>
      <c r="D534" s="4"/>
      <c r="E534" s="4"/>
      <c r="F534" s="4"/>
      <c r="G534" s="4"/>
      <c r="H534" s="4"/>
      <c r="I534" s="8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82"/>
      <c r="B535" s="82"/>
      <c r="C535" s="83"/>
      <c r="D535" s="4"/>
      <c r="E535" s="4"/>
      <c r="F535" s="4"/>
      <c r="G535" s="4"/>
      <c r="H535" s="4"/>
      <c r="I535" s="8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82"/>
      <c r="B536" s="82"/>
      <c r="C536" s="83"/>
      <c r="D536" s="4"/>
      <c r="E536" s="4"/>
      <c r="F536" s="4"/>
      <c r="G536" s="4"/>
      <c r="H536" s="4"/>
      <c r="I536" s="8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82"/>
      <c r="B537" s="82"/>
      <c r="C537" s="83"/>
      <c r="D537" s="4"/>
      <c r="E537" s="4"/>
      <c r="F537" s="4"/>
      <c r="G537" s="4"/>
      <c r="H537" s="4"/>
      <c r="I537" s="8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82"/>
      <c r="B538" s="82"/>
      <c r="C538" s="83"/>
      <c r="D538" s="4"/>
      <c r="E538" s="4"/>
      <c r="F538" s="4"/>
      <c r="G538" s="4"/>
      <c r="H538" s="4"/>
      <c r="I538" s="8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82"/>
      <c r="B539" s="82"/>
      <c r="C539" s="83"/>
      <c r="D539" s="4"/>
      <c r="E539" s="4"/>
      <c r="F539" s="4"/>
      <c r="G539" s="4"/>
      <c r="H539" s="4"/>
      <c r="I539" s="8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82"/>
      <c r="B540" s="82"/>
      <c r="C540" s="83"/>
      <c r="D540" s="4"/>
      <c r="E540" s="4"/>
      <c r="F540" s="4"/>
      <c r="G540" s="4"/>
      <c r="H540" s="4"/>
      <c r="I540" s="8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82"/>
      <c r="B541" s="82"/>
      <c r="C541" s="83"/>
      <c r="D541" s="4"/>
      <c r="E541" s="4"/>
      <c r="F541" s="4"/>
      <c r="G541" s="4"/>
      <c r="H541" s="4"/>
      <c r="I541" s="8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82"/>
      <c r="B542" s="82"/>
      <c r="C542" s="83"/>
      <c r="D542" s="4"/>
      <c r="E542" s="4"/>
      <c r="F542" s="4"/>
      <c r="G542" s="4"/>
      <c r="H542" s="4"/>
      <c r="I542" s="8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82"/>
      <c r="B543" s="82"/>
      <c r="C543" s="83"/>
      <c r="D543" s="4"/>
      <c r="E543" s="4"/>
      <c r="F543" s="4"/>
      <c r="G543" s="4"/>
      <c r="H543" s="4"/>
      <c r="I543" s="8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82"/>
      <c r="B544" s="82"/>
      <c r="C544" s="83"/>
      <c r="D544" s="4"/>
      <c r="E544" s="4"/>
      <c r="F544" s="4"/>
      <c r="G544" s="4"/>
      <c r="H544" s="4"/>
      <c r="I544" s="8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82"/>
      <c r="B545" s="82"/>
      <c r="C545" s="83"/>
      <c r="D545" s="4"/>
      <c r="E545" s="4"/>
      <c r="F545" s="4"/>
      <c r="G545" s="4"/>
      <c r="H545" s="4"/>
      <c r="I545" s="8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82"/>
      <c r="B546" s="82"/>
      <c r="C546" s="83"/>
      <c r="D546" s="4"/>
      <c r="E546" s="4"/>
      <c r="F546" s="4"/>
      <c r="G546" s="4"/>
      <c r="H546" s="4"/>
      <c r="I546" s="8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82"/>
      <c r="B547" s="82"/>
      <c r="C547" s="83"/>
      <c r="D547" s="4"/>
      <c r="E547" s="4"/>
      <c r="F547" s="4"/>
      <c r="G547" s="4"/>
      <c r="H547" s="4"/>
      <c r="I547" s="8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82"/>
      <c r="B548" s="82"/>
      <c r="C548" s="83"/>
      <c r="D548" s="4"/>
      <c r="E548" s="4"/>
      <c r="F548" s="4"/>
      <c r="G548" s="4"/>
      <c r="H548" s="4"/>
      <c r="I548" s="8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82"/>
      <c r="B549" s="82"/>
      <c r="C549" s="83"/>
      <c r="D549" s="4"/>
      <c r="E549" s="4"/>
      <c r="F549" s="4"/>
      <c r="G549" s="4"/>
      <c r="H549" s="4"/>
      <c r="I549" s="8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82"/>
      <c r="B550" s="82"/>
      <c r="C550" s="83"/>
      <c r="D550" s="4"/>
      <c r="E550" s="4"/>
      <c r="F550" s="4"/>
      <c r="G550" s="4"/>
      <c r="H550" s="4"/>
      <c r="I550" s="8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82"/>
      <c r="B551" s="82"/>
      <c r="C551" s="83"/>
      <c r="D551" s="4"/>
      <c r="E551" s="4"/>
      <c r="F551" s="4"/>
      <c r="G551" s="4"/>
      <c r="H551" s="4"/>
      <c r="I551" s="8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82"/>
      <c r="B552" s="82"/>
      <c r="C552" s="83"/>
      <c r="D552" s="4"/>
      <c r="E552" s="4"/>
      <c r="F552" s="4"/>
      <c r="G552" s="4"/>
      <c r="H552" s="4"/>
      <c r="I552" s="8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82"/>
      <c r="B553" s="82"/>
      <c r="C553" s="83"/>
      <c r="D553" s="4"/>
      <c r="E553" s="4"/>
      <c r="F553" s="4"/>
      <c r="G553" s="4"/>
      <c r="H553" s="4"/>
      <c r="I553" s="8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82"/>
      <c r="B554" s="82"/>
      <c r="C554" s="83"/>
      <c r="D554" s="4"/>
      <c r="E554" s="4"/>
      <c r="F554" s="4"/>
      <c r="G554" s="4"/>
      <c r="H554" s="4"/>
      <c r="I554" s="8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82"/>
      <c r="B555" s="82"/>
      <c r="C555" s="83"/>
      <c r="D555" s="4"/>
      <c r="E555" s="4"/>
      <c r="F555" s="4"/>
      <c r="G555" s="4"/>
      <c r="H555" s="4"/>
      <c r="I555" s="8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82"/>
      <c r="B556" s="82"/>
      <c r="C556" s="83"/>
      <c r="D556" s="4"/>
      <c r="E556" s="4"/>
      <c r="F556" s="4"/>
      <c r="G556" s="4"/>
      <c r="H556" s="4"/>
      <c r="I556" s="8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82"/>
      <c r="B557" s="82"/>
      <c r="C557" s="83"/>
      <c r="D557" s="4"/>
      <c r="E557" s="4"/>
      <c r="F557" s="4"/>
      <c r="G557" s="4"/>
      <c r="H557" s="4"/>
      <c r="I557" s="8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82"/>
      <c r="B558" s="82"/>
      <c r="C558" s="83"/>
      <c r="D558" s="4"/>
      <c r="E558" s="4"/>
      <c r="F558" s="4"/>
      <c r="G558" s="4"/>
      <c r="H558" s="4"/>
      <c r="I558" s="8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82"/>
      <c r="B559" s="82"/>
      <c r="C559" s="83"/>
      <c r="D559" s="4"/>
      <c r="E559" s="4"/>
      <c r="F559" s="4"/>
      <c r="G559" s="4"/>
      <c r="H559" s="4"/>
      <c r="I559" s="8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82"/>
      <c r="B560" s="82"/>
      <c r="C560" s="83"/>
      <c r="D560" s="4"/>
      <c r="E560" s="4"/>
      <c r="F560" s="4"/>
      <c r="G560" s="4"/>
      <c r="H560" s="4"/>
      <c r="I560" s="8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82"/>
      <c r="B561" s="82"/>
      <c r="C561" s="83"/>
      <c r="D561" s="4"/>
      <c r="E561" s="4"/>
      <c r="F561" s="4"/>
      <c r="G561" s="4"/>
      <c r="H561" s="4"/>
      <c r="I561" s="8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82"/>
      <c r="B562" s="82"/>
      <c r="C562" s="83"/>
      <c r="D562" s="4"/>
      <c r="E562" s="4"/>
      <c r="F562" s="4"/>
      <c r="G562" s="4"/>
      <c r="H562" s="4"/>
      <c r="I562" s="8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82"/>
      <c r="B563" s="82"/>
      <c r="C563" s="83"/>
      <c r="D563" s="4"/>
      <c r="E563" s="4"/>
      <c r="F563" s="4"/>
      <c r="G563" s="4"/>
      <c r="H563" s="4"/>
      <c r="I563" s="8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82"/>
      <c r="B564" s="82"/>
      <c r="C564" s="83"/>
      <c r="D564" s="4"/>
      <c r="E564" s="4"/>
      <c r="F564" s="4"/>
      <c r="G564" s="4"/>
      <c r="H564" s="4"/>
      <c r="I564" s="8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82"/>
      <c r="B565" s="82"/>
      <c r="C565" s="83"/>
      <c r="D565" s="4"/>
      <c r="E565" s="4"/>
      <c r="F565" s="4"/>
      <c r="G565" s="4"/>
      <c r="H565" s="4"/>
      <c r="I565" s="8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82"/>
      <c r="B566" s="82"/>
      <c r="C566" s="83"/>
      <c r="D566" s="4"/>
      <c r="E566" s="4"/>
      <c r="F566" s="4"/>
      <c r="G566" s="4"/>
      <c r="H566" s="4"/>
      <c r="I566" s="8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82"/>
      <c r="B567" s="82"/>
      <c r="C567" s="83"/>
      <c r="D567" s="4"/>
      <c r="E567" s="4"/>
      <c r="F567" s="4"/>
      <c r="G567" s="4"/>
      <c r="H567" s="4"/>
      <c r="I567" s="8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82"/>
      <c r="B568" s="82"/>
      <c r="C568" s="83"/>
      <c r="D568" s="4"/>
      <c r="E568" s="4"/>
      <c r="F568" s="4"/>
      <c r="G568" s="4"/>
      <c r="H568" s="4"/>
      <c r="I568" s="8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82"/>
      <c r="B569" s="82"/>
      <c r="C569" s="83"/>
      <c r="D569" s="4"/>
      <c r="E569" s="4"/>
      <c r="F569" s="4"/>
      <c r="G569" s="4"/>
      <c r="H569" s="4"/>
      <c r="I569" s="8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82"/>
      <c r="B570" s="82"/>
      <c r="C570" s="83"/>
      <c r="D570" s="4"/>
      <c r="E570" s="4"/>
      <c r="F570" s="4"/>
      <c r="G570" s="4"/>
      <c r="H570" s="4"/>
      <c r="I570" s="8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82"/>
      <c r="B571" s="82"/>
      <c r="C571" s="83"/>
      <c r="D571" s="4"/>
      <c r="E571" s="4"/>
      <c r="F571" s="4"/>
      <c r="G571" s="4"/>
      <c r="H571" s="4"/>
      <c r="I571" s="8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82"/>
      <c r="B572" s="82"/>
      <c r="C572" s="83"/>
      <c r="D572" s="4"/>
      <c r="E572" s="4"/>
      <c r="F572" s="4"/>
      <c r="G572" s="4"/>
      <c r="H572" s="4"/>
      <c r="I572" s="8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82"/>
      <c r="B573" s="82"/>
      <c r="C573" s="83"/>
      <c r="D573" s="4"/>
      <c r="E573" s="4"/>
      <c r="F573" s="4"/>
      <c r="G573" s="4"/>
      <c r="H573" s="4"/>
      <c r="I573" s="8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82"/>
      <c r="B574" s="82"/>
      <c r="C574" s="83"/>
      <c r="D574" s="4"/>
      <c r="E574" s="4"/>
      <c r="F574" s="4"/>
      <c r="G574" s="4"/>
      <c r="H574" s="4"/>
      <c r="I574" s="8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82"/>
      <c r="B575" s="82"/>
      <c r="C575" s="83"/>
      <c r="D575" s="4"/>
      <c r="E575" s="4"/>
      <c r="F575" s="4"/>
      <c r="G575" s="4"/>
      <c r="H575" s="4"/>
      <c r="I575" s="8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82"/>
      <c r="B576" s="82"/>
      <c r="C576" s="83"/>
      <c r="D576" s="4"/>
      <c r="E576" s="4"/>
      <c r="F576" s="4"/>
      <c r="G576" s="4"/>
      <c r="H576" s="4"/>
      <c r="I576" s="8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82"/>
      <c r="B577" s="82"/>
      <c r="C577" s="83"/>
      <c r="D577" s="4"/>
      <c r="E577" s="4"/>
      <c r="F577" s="4"/>
      <c r="G577" s="4"/>
      <c r="H577" s="4"/>
      <c r="I577" s="8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82"/>
      <c r="B578" s="82"/>
      <c r="C578" s="83"/>
      <c r="D578" s="4"/>
      <c r="E578" s="4"/>
      <c r="F578" s="4"/>
      <c r="G578" s="4"/>
      <c r="H578" s="4"/>
      <c r="I578" s="8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82"/>
      <c r="B579" s="82"/>
      <c r="C579" s="83"/>
      <c r="D579" s="4"/>
      <c r="E579" s="4"/>
      <c r="F579" s="4"/>
      <c r="G579" s="4"/>
      <c r="H579" s="4"/>
      <c r="I579" s="8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82"/>
      <c r="B580" s="82"/>
      <c r="C580" s="83"/>
      <c r="D580" s="4"/>
      <c r="E580" s="4"/>
      <c r="F580" s="4"/>
      <c r="G580" s="4"/>
      <c r="H580" s="4"/>
      <c r="I580" s="8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82"/>
      <c r="B581" s="82"/>
      <c r="C581" s="83"/>
      <c r="D581" s="4"/>
      <c r="E581" s="4"/>
      <c r="F581" s="4"/>
      <c r="G581" s="4"/>
      <c r="H581" s="4"/>
      <c r="I581" s="8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82"/>
      <c r="B582" s="82"/>
      <c r="C582" s="83"/>
      <c r="D582" s="4"/>
      <c r="E582" s="4"/>
      <c r="F582" s="4"/>
      <c r="G582" s="4"/>
      <c r="H582" s="4"/>
      <c r="I582" s="8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82"/>
      <c r="B583" s="82"/>
      <c r="C583" s="83"/>
      <c r="D583" s="4"/>
      <c r="E583" s="4"/>
      <c r="F583" s="4"/>
      <c r="G583" s="4"/>
      <c r="H583" s="4"/>
      <c r="I583" s="8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82"/>
      <c r="B584" s="82"/>
      <c r="C584" s="83"/>
      <c r="D584" s="4"/>
      <c r="E584" s="4"/>
      <c r="F584" s="4"/>
      <c r="G584" s="4"/>
      <c r="H584" s="4"/>
      <c r="I584" s="8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82"/>
      <c r="B585" s="82"/>
      <c r="C585" s="83"/>
      <c r="D585" s="4"/>
      <c r="E585" s="4"/>
      <c r="F585" s="4"/>
      <c r="G585" s="4"/>
      <c r="H585" s="4"/>
      <c r="I585" s="8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82"/>
      <c r="B586" s="82"/>
      <c r="C586" s="83"/>
      <c r="D586" s="4"/>
      <c r="E586" s="4"/>
      <c r="F586" s="4"/>
      <c r="G586" s="4"/>
      <c r="H586" s="4"/>
      <c r="I586" s="8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82"/>
      <c r="B587" s="82"/>
      <c r="C587" s="83"/>
      <c r="D587" s="4"/>
      <c r="E587" s="4"/>
      <c r="F587" s="4"/>
      <c r="G587" s="4"/>
      <c r="H587" s="4"/>
      <c r="I587" s="8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82"/>
      <c r="B588" s="82"/>
      <c r="C588" s="83"/>
      <c r="D588" s="4"/>
      <c r="E588" s="4"/>
      <c r="F588" s="4"/>
      <c r="G588" s="4"/>
      <c r="H588" s="4"/>
      <c r="I588" s="8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82"/>
      <c r="B589" s="82"/>
      <c r="C589" s="83"/>
      <c r="D589" s="4"/>
      <c r="E589" s="4"/>
      <c r="F589" s="4"/>
      <c r="G589" s="4"/>
      <c r="H589" s="4"/>
      <c r="I589" s="8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82"/>
      <c r="B590" s="82"/>
      <c r="C590" s="83"/>
      <c r="D590" s="4"/>
      <c r="E590" s="4"/>
      <c r="F590" s="4"/>
      <c r="G590" s="4"/>
      <c r="H590" s="4"/>
      <c r="I590" s="8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82"/>
      <c r="B591" s="82"/>
      <c r="C591" s="83"/>
      <c r="D591" s="4"/>
      <c r="E591" s="4"/>
      <c r="F591" s="4"/>
      <c r="G591" s="4"/>
      <c r="H591" s="4"/>
      <c r="I591" s="8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82"/>
      <c r="B592" s="82"/>
      <c r="C592" s="83"/>
      <c r="D592" s="4"/>
      <c r="E592" s="4"/>
      <c r="F592" s="4"/>
      <c r="G592" s="4"/>
      <c r="H592" s="4"/>
      <c r="I592" s="8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82"/>
      <c r="B593" s="82"/>
      <c r="C593" s="83"/>
      <c r="D593" s="4"/>
      <c r="E593" s="4"/>
      <c r="F593" s="4"/>
      <c r="G593" s="4"/>
      <c r="H593" s="4"/>
      <c r="I593" s="8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82"/>
      <c r="B594" s="82"/>
      <c r="C594" s="83"/>
      <c r="D594" s="4"/>
      <c r="E594" s="4"/>
      <c r="F594" s="4"/>
      <c r="G594" s="4"/>
      <c r="H594" s="4"/>
      <c r="I594" s="8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82"/>
      <c r="B595" s="82"/>
      <c r="C595" s="83"/>
      <c r="D595" s="4"/>
      <c r="E595" s="4"/>
      <c r="F595" s="4"/>
      <c r="G595" s="4"/>
      <c r="H595" s="4"/>
      <c r="I595" s="8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82"/>
      <c r="B596" s="82"/>
      <c r="C596" s="83"/>
      <c r="D596" s="4"/>
      <c r="E596" s="4"/>
      <c r="F596" s="4"/>
      <c r="G596" s="4"/>
      <c r="H596" s="4"/>
      <c r="I596" s="8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82"/>
      <c r="B597" s="82"/>
      <c r="C597" s="83"/>
      <c r="D597" s="4"/>
      <c r="E597" s="4"/>
      <c r="F597" s="4"/>
      <c r="G597" s="4"/>
      <c r="H597" s="4"/>
      <c r="I597" s="8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82"/>
      <c r="B598" s="82"/>
      <c r="C598" s="83"/>
      <c r="D598" s="4"/>
      <c r="E598" s="4"/>
      <c r="F598" s="4"/>
      <c r="G598" s="4"/>
      <c r="H598" s="4"/>
      <c r="I598" s="8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82"/>
      <c r="B599" s="82"/>
      <c r="C599" s="83"/>
      <c r="D599" s="4"/>
      <c r="E599" s="4"/>
      <c r="F599" s="4"/>
      <c r="G599" s="4"/>
      <c r="H599" s="4"/>
      <c r="I599" s="8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82"/>
      <c r="B600" s="82"/>
      <c r="C600" s="83"/>
      <c r="D600" s="4"/>
      <c r="E600" s="4"/>
      <c r="F600" s="4"/>
      <c r="G600" s="4"/>
      <c r="H600" s="4"/>
      <c r="I600" s="8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82"/>
      <c r="B601" s="82"/>
      <c r="C601" s="83"/>
      <c r="D601" s="4"/>
      <c r="E601" s="4"/>
      <c r="F601" s="4"/>
      <c r="G601" s="4"/>
      <c r="H601" s="4"/>
      <c r="I601" s="8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82"/>
      <c r="B602" s="82"/>
      <c r="C602" s="83"/>
      <c r="D602" s="4"/>
      <c r="E602" s="4"/>
      <c r="F602" s="4"/>
      <c r="G602" s="4"/>
      <c r="H602" s="4"/>
      <c r="I602" s="8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82"/>
      <c r="B603" s="82"/>
      <c r="C603" s="83"/>
      <c r="D603" s="4"/>
      <c r="E603" s="4"/>
      <c r="F603" s="4"/>
      <c r="G603" s="4"/>
      <c r="H603" s="4"/>
      <c r="I603" s="8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82"/>
      <c r="B604" s="82"/>
      <c r="C604" s="83"/>
      <c r="D604" s="4"/>
      <c r="E604" s="4"/>
      <c r="F604" s="4"/>
      <c r="G604" s="4"/>
      <c r="H604" s="4"/>
      <c r="I604" s="8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82"/>
      <c r="B605" s="82"/>
      <c r="C605" s="83"/>
      <c r="D605" s="4"/>
      <c r="E605" s="4"/>
      <c r="F605" s="4"/>
      <c r="G605" s="4"/>
      <c r="H605" s="4"/>
      <c r="I605" s="8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82"/>
      <c r="B606" s="82"/>
      <c r="C606" s="83"/>
      <c r="D606" s="4"/>
      <c r="E606" s="4"/>
      <c r="F606" s="4"/>
      <c r="G606" s="4"/>
      <c r="H606" s="4"/>
      <c r="I606" s="8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82"/>
      <c r="B607" s="82"/>
      <c r="C607" s="83"/>
      <c r="D607" s="4"/>
      <c r="E607" s="4"/>
      <c r="F607" s="4"/>
      <c r="G607" s="4"/>
      <c r="H607" s="4"/>
      <c r="I607" s="8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82"/>
      <c r="B608" s="82"/>
      <c r="C608" s="83"/>
      <c r="D608" s="4"/>
      <c r="E608" s="4"/>
      <c r="F608" s="4"/>
      <c r="G608" s="4"/>
      <c r="H608" s="4"/>
      <c r="I608" s="8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82"/>
      <c r="B609" s="82"/>
      <c r="C609" s="83"/>
      <c r="D609" s="4"/>
      <c r="E609" s="4"/>
      <c r="F609" s="4"/>
      <c r="G609" s="4"/>
      <c r="H609" s="4"/>
      <c r="I609" s="8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82"/>
      <c r="B610" s="82"/>
      <c r="C610" s="83"/>
      <c r="D610" s="4"/>
      <c r="E610" s="4"/>
      <c r="F610" s="4"/>
      <c r="G610" s="4"/>
      <c r="H610" s="4"/>
      <c r="I610" s="8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82"/>
      <c r="B611" s="82"/>
      <c r="C611" s="83"/>
      <c r="D611" s="4"/>
      <c r="E611" s="4"/>
      <c r="F611" s="4"/>
      <c r="G611" s="4"/>
      <c r="H611" s="4"/>
      <c r="I611" s="8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82"/>
      <c r="B612" s="82"/>
      <c r="C612" s="83"/>
      <c r="D612" s="4"/>
      <c r="E612" s="4"/>
      <c r="F612" s="4"/>
      <c r="G612" s="4"/>
      <c r="H612" s="4"/>
      <c r="I612" s="8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82"/>
      <c r="B613" s="82"/>
      <c r="C613" s="83"/>
      <c r="D613" s="4"/>
      <c r="E613" s="4"/>
      <c r="F613" s="4"/>
      <c r="G613" s="4"/>
      <c r="H613" s="4"/>
      <c r="I613" s="8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82"/>
      <c r="B614" s="82"/>
      <c r="C614" s="83"/>
      <c r="D614" s="4"/>
      <c r="E614" s="4"/>
      <c r="F614" s="4"/>
      <c r="G614" s="4"/>
      <c r="H614" s="4"/>
      <c r="I614" s="8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82"/>
      <c r="B615" s="82"/>
      <c r="C615" s="83"/>
      <c r="D615" s="4"/>
      <c r="E615" s="4"/>
      <c r="F615" s="4"/>
      <c r="G615" s="4"/>
      <c r="H615" s="4"/>
      <c r="I615" s="8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82"/>
      <c r="B616" s="82"/>
      <c r="C616" s="83"/>
      <c r="D616" s="4"/>
      <c r="E616" s="4"/>
      <c r="F616" s="4"/>
      <c r="G616" s="4"/>
      <c r="H616" s="4"/>
      <c r="I616" s="8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82"/>
      <c r="B617" s="82"/>
      <c r="C617" s="83"/>
      <c r="D617" s="4"/>
      <c r="E617" s="4"/>
      <c r="F617" s="4"/>
      <c r="G617" s="4"/>
      <c r="H617" s="4"/>
      <c r="I617" s="8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82"/>
      <c r="B618" s="82"/>
      <c r="C618" s="83"/>
      <c r="D618" s="4"/>
      <c r="E618" s="4"/>
      <c r="F618" s="4"/>
      <c r="G618" s="4"/>
      <c r="H618" s="4"/>
      <c r="I618" s="8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82"/>
      <c r="B619" s="82"/>
      <c r="C619" s="83"/>
      <c r="D619" s="4"/>
      <c r="E619" s="4"/>
      <c r="F619" s="4"/>
      <c r="G619" s="4"/>
      <c r="H619" s="4"/>
      <c r="I619" s="8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82"/>
      <c r="B620" s="82"/>
      <c r="C620" s="83"/>
      <c r="D620" s="4"/>
      <c r="E620" s="4"/>
      <c r="F620" s="4"/>
      <c r="G620" s="4"/>
      <c r="H620" s="4"/>
      <c r="I620" s="8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82"/>
      <c r="B621" s="82"/>
      <c r="C621" s="83"/>
      <c r="D621" s="4"/>
      <c r="E621" s="4"/>
      <c r="F621" s="4"/>
      <c r="G621" s="4"/>
      <c r="H621" s="4"/>
      <c r="I621" s="8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82"/>
      <c r="B622" s="82"/>
      <c r="C622" s="83"/>
      <c r="D622" s="4"/>
      <c r="E622" s="4"/>
      <c r="F622" s="4"/>
      <c r="G622" s="4"/>
      <c r="H622" s="4"/>
      <c r="I622" s="8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82"/>
      <c r="B623" s="82"/>
      <c r="C623" s="83"/>
      <c r="D623" s="4"/>
      <c r="E623" s="4"/>
      <c r="F623" s="4"/>
      <c r="G623" s="4"/>
      <c r="H623" s="4"/>
      <c r="I623" s="8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82"/>
      <c r="B624" s="82"/>
      <c r="C624" s="83"/>
      <c r="D624" s="4"/>
      <c r="E624" s="4"/>
      <c r="F624" s="4"/>
      <c r="G624" s="4"/>
      <c r="H624" s="4"/>
      <c r="I624" s="8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82"/>
      <c r="B625" s="82"/>
      <c r="C625" s="83"/>
      <c r="D625" s="4"/>
      <c r="E625" s="4"/>
      <c r="F625" s="4"/>
      <c r="G625" s="4"/>
      <c r="H625" s="4"/>
      <c r="I625" s="8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82"/>
      <c r="B626" s="82"/>
      <c r="C626" s="83"/>
      <c r="D626" s="4"/>
      <c r="E626" s="4"/>
      <c r="F626" s="4"/>
      <c r="G626" s="4"/>
      <c r="H626" s="4"/>
      <c r="I626" s="8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82"/>
      <c r="B627" s="82"/>
      <c r="C627" s="83"/>
      <c r="D627" s="4"/>
      <c r="E627" s="4"/>
      <c r="F627" s="4"/>
      <c r="G627" s="4"/>
      <c r="H627" s="4"/>
      <c r="I627" s="8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82"/>
      <c r="B628" s="82"/>
      <c r="C628" s="83"/>
      <c r="D628" s="4"/>
      <c r="E628" s="4"/>
      <c r="F628" s="4"/>
      <c r="G628" s="4"/>
      <c r="H628" s="4"/>
      <c r="I628" s="8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82"/>
      <c r="B629" s="82"/>
      <c r="C629" s="83"/>
      <c r="D629" s="4"/>
      <c r="E629" s="4"/>
      <c r="F629" s="4"/>
      <c r="G629" s="4"/>
      <c r="H629" s="4"/>
      <c r="I629" s="8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82"/>
      <c r="B630" s="82"/>
      <c r="C630" s="83"/>
      <c r="D630" s="4"/>
      <c r="E630" s="4"/>
      <c r="F630" s="4"/>
      <c r="G630" s="4"/>
      <c r="H630" s="4"/>
      <c r="I630" s="8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82"/>
      <c r="B631" s="82"/>
      <c r="C631" s="83"/>
      <c r="D631" s="4"/>
      <c r="E631" s="4"/>
      <c r="F631" s="4"/>
      <c r="G631" s="4"/>
      <c r="H631" s="4"/>
      <c r="I631" s="8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82"/>
      <c r="B632" s="82"/>
      <c r="C632" s="83"/>
      <c r="D632" s="4"/>
      <c r="E632" s="4"/>
      <c r="F632" s="4"/>
      <c r="G632" s="4"/>
      <c r="H632" s="4"/>
      <c r="I632" s="8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82"/>
      <c r="B633" s="82"/>
      <c r="C633" s="83"/>
      <c r="D633" s="4"/>
      <c r="E633" s="4"/>
      <c r="F633" s="4"/>
      <c r="G633" s="4"/>
      <c r="H633" s="4"/>
      <c r="I633" s="8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82"/>
      <c r="B634" s="82"/>
      <c r="C634" s="83"/>
      <c r="D634" s="4"/>
      <c r="E634" s="4"/>
      <c r="F634" s="4"/>
      <c r="G634" s="4"/>
      <c r="H634" s="4"/>
      <c r="I634" s="8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82"/>
      <c r="B635" s="82"/>
      <c r="C635" s="83"/>
      <c r="D635" s="4"/>
      <c r="E635" s="4"/>
      <c r="F635" s="4"/>
      <c r="G635" s="4"/>
      <c r="H635" s="4"/>
      <c r="I635" s="8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82"/>
      <c r="B636" s="82"/>
      <c r="C636" s="83"/>
      <c r="D636" s="4"/>
      <c r="E636" s="4"/>
      <c r="F636" s="4"/>
      <c r="G636" s="4"/>
      <c r="H636" s="4"/>
      <c r="I636" s="8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82"/>
      <c r="B637" s="82"/>
      <c r="C637" s="83"/>
      <c r="D637" s="4"/>
      <c r="E637" s="4"/>
      <c r="F637" s="4"/>
      <c r="G637" s="4"/>
      <c r="H637" s="4"/>
      <c r="I637" s="8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82"/>
      <c r="B638" s="82"/>
      <c r="C638" s="83"/>
      <c r="D638" s="4"/>
      <c r="E638" s="4"/>
      <c r="F638" s="4"/>
      <c r="G638" s="4"/>
      <c r="H638" s="4"/>
      <c r="I638" s="8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82"/>
      <c r="B639" s="82"/>
      <c r="C639" s="83"/>
      <c r="D639" s="4"/>
      <c r="E639" s="4"/>
      <c r="F639" s="4"/>
      <c r="G639" s="4"/>
      <c r="H639" s="4"/>
      <c r="I639" s="8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82"/>
      <c r="B640" s="82"/>
      <c r="C640" s="83"/>
      <c r="D640" s="4"/>
      <c r="E640" s="4"/>
      <c r="F640" s="4"/>
      <c r="G640" s="4"/>
      <c r="H640" s="4"/>
      <c r="I640" s="8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82"/>
      <c r="B641" s="82"/>
      <c r="C641" s="83"/>
      <c r="D641" s="4"/>
      <c r="E641" s="4"/>
      <c r="F641" s="4"/>
      <c r="G641" s="4"/>
      <c r="H641" s="4"/>
      <c r="I641" s="8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82"/>
      <c r="B642" s="82"/>
      <c r="C642" s="83"/>
      <c r="D642" s="4"/>
      <c r="E642" s="4"/>
      <c r="F642" s="4"/>
      <c r="G642" s="4"/>
      <c r="H642" s="4"/>
      <c r="I642" s="8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82"/>
      <c r="B643" s="82"/>
      <c r="C643" s="83"/>
      <c r="D643" s="4"/>
      <c r="E643" s="4"/>
      <c r="F643" s="4"/>
      <c r="G643" s="4"/>
      <c r="H643" s="4"/>
      <c r="I643" s="8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82"/>
      <c r="B644" s="82"/>
      <c r="C644" s="83"/>
      <c r="D644" s="4"/>
      <c r="E644" s="4"/>
      <c r="F644" s="4"/>
      <c r="G644" s="4"/>
      <c r="H644" s="4"/>
      <c r="I644" s="8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82"/>
      <c r="B645" s="82"/>
      <c r="C645" s="83"/>
      <c r="D645" s="4"/>
      <c r="E645" s="4"/>
      <c r="F645" s="4"/>
      <c r="G645" s="4"/>
      <c r="H645" s="4"/>
      <c r="I645" s="8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82"/>
      <c r="B646" s="82"/>
      <c r="C646" s="83"/>
      <c r="D646" s="4"/>
      <c r="E646" s="4"/>
      <c r="F646" s="4"/>
      <c r="G646" s="4"/>
      <c r="H646" s="4"/>
      <c r="I646" s="8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82"/>
      <c r="B647" s="82"/>
      <c r="C647" s="83"/>
      <c r="D647" s="4"/>
      <c r="E647" s="4"/>
      <c r="F647" s="4"/>
      <c r="G647" s="4"/>
      <c r="H647" s="4"/>
      <c r="I647" s="8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82"/>
      <c r="B648" s="82"/>
      <c r="C648" s="83"/>
      <c r="D648" s="4"/>
      <c r="E648" s="4"/>
      <c r="F648" s="4"/>
      <c r="G648" s="4"/>
      <c r="H648" s="4"/>
      <c r="I648" s="8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82"/>
      <c r="B649" s="82"/>
      <c r="C649" s="83"/>
      <c r="D649" s="4"/>
      <c r="E649" s="4"/>
      <c r="F649" s="4"/>
      <c r="G649" s="4"/>
      <c r="H649" s="4"/>
      <c r="I649" s="8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82"/>
      <c r="B650" s="82"/>
      <c r="C650" s="83"/>
      <c r="D650" s="4"/>
      <c r="E650" s="4"/>
      <c r="F650" s="4"/>
      <c r="G650" s="4"/>
      <c r="H650" s="4"/>
      <c r="I650" s="8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82"/>
      <c r="B651" s="82"/>
      <c r="C651" s="83"/>
      <c r="D651" s="4"/>
      <c r="E651" s="4"/>
      <c r="F651" s="4"/>
      <c r="G651" s="4"/>
      <c r="H651" s="4"/>
      <c r="I651" s="8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82"/>
      <c r="B652" s="82"/>
      <c r="C652" s="83"/>
      <c r="D652" s="4"/>
      <c r="E652" s="4"/>
      <c r="F652" s="4"/>
      <c r="G652" s="4"/>
      <c r="H652" s="4"/>
      <c r="I652" s="8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82"/>
      <c r="B653" s="82"/>
      <c r="C653" s="83"/>
      <c r="D653" s="4"/>
      <c r="E653" s="4"/>
      <c r="F653" s="4"/>
      <c r="G653" s="4"/>
      <c r="H653" s="4"/>
      <c r="I653" s="8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82"/>
      <c r="B654" s="82"/>
      <c r="C654" s="83"/>
      <c r="D654" s="4"/>
      <c r="E654" s="4"/>
      <c r="F654" s="4"/>
      <c r="G654" s="4"/>
      <c r="H654" s="4"/>
      <c r="I654" s="8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82"/>
      <c r="B655" s="82"/>
      <c r="C655" s="83"/>
      <c r="D655" s="4"/>
      <c r="E655" s="4"/>
      <c r="F655" s="4"/>
      <c r="G655" s="4"/>
      <c r="H655" s="4"/>
      <c r="I655" s="8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82"/>
      <c r="B656" s="82"/>
      <c r="C656" s="83"/>
      <c r="D656" s="4"/>
      <c r="E656" s="4"/>
      <c r="F656" s="4"/>
      <c r="G656" s="4"/>
      <c r="H656" s="4"/>
      <c r="I656" s="8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82"/>
      <c r="B657" s="82"/>
      <c r="C657" s="83"/>
      <c r="D657" s="4"/>
      <c r="E657" s="4"/>
      <c r="F657" s="4"/>
      <c r="G657" s="4"/>
      <c r="H657" s="4"/>
      <c r="I657" s="8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82"/>
      <c r="B658" s="82"/>
      <c r="C658" s="83"/>
      <c r="D658" s="4"/>
      <c r="E658" s="4"/>
      <c r="F658" s="4"/>
      <c r="G658" s="4"/>
      <c r="H658" s="4"/>
      <c r="I658" s="8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82"/>
      <c r="B659" s="82"/>
      <c r="C659" s="83"/>
      <c r="D659" s="4"/>
      <c r="E659" s="4"/>
      <c r="F659" s="4"/>
      <c r="G659" s="4"/>
      <c r="H659" s="4"/>
      <c r="I659" s="8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82"/>
      <c r="B660" s="82"/>
      <c r="C660" s="83"/>
      <c r="D660" s="4"/>
      <c r="E660" s="4"/>
      <c r="F660" s="4"/>
      <c r="G660" s="4"/>
      <c r="H660" s="4"/>
      <c r="I660" s="8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82"/>
      <c r="B661" s="82"/>
      <c r="C661" s="83"/>
      <c r="D661" s="4"/>
      <c r="E661" s="4"/>
      <c r="F661" s="4"/>
      <c r="G661" s="4"/>
      <c r="H661" s="4"/>
      <c r="I661" s="8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82"/>
      <c r="B662" s="82"/>
      <c r="C662" s="83"/>
      <c r="D662" s="4"/>
      <c r="E662" s="4"/>
      <c r="F662" s="4"/>
      <c r="G662" s="4"/>
      <c r="H662" s="4"/>
      <c r="I662" s="8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82"/>
      <c r="B663" s="82"/>
      <c r="C663" s="83"/>
      <c r="D663" s="4"/>
      <c r="E663" s="4"/>
      <c r="F663" s="4"/>
      <c r="G663" s="4"/>
      <c r="H663" s="4"/>
      <c r="I663" s="8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82"/>
      <c r="B664" s="82"/>
      <c r="C664" s="83"/>
      <c r="D664" s="4"/>
      <c r="E664" s="4"/>
      <c r="F664" s="4"/>
      <c r="G664" s="4"/>
      <c r="H664" s="4"/>
      <c r="I664" s="8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82"/>
      <c r="B665" s="82"/>
      <c r="C665" s="83"/>
      <c r="D665" s="4"/>
      <c r="E665" s="4"/>
      <c r="F665" s="4"/>
      <c r="G665" s="4"/>
      <c r="H665" s="4"/>
      <c r="I665" s="8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82"/>
      <c r="B666" s="82"/>
      <c r="C666" s="83"/>
      <c r="D666" s="4"/>
      <c r="E666" s="4"/>
      <c r="F666" s="4"/>
      <c r="G666" s="4"/>
      <c r="H666" s="4"/>
      <c r="I666" s="8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82"/>
      <c r="B667" s="82"/>
      <c r="C667" s="83"/>
      <c r="D667" s="4"/>
      <c r="E667" s="4"/>
      <c r="F667" s="4"/>
      <c r="G667" s="4"/>
      <c r="H667" s="4"/>
      <c r="I667" s="8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82"/>
      <c r="B668" s="82"/>
      <c r="C668" s="83"/>
      <c r="D668" s="4"/>
      <c r="E668" s="4"/>
      <c r="F668" s="4"/>
      <c r="G668" s="4"/>
      <c r="H668" s="4"/>
      <c r="I668" s="8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82"/>
      <c r="B669" s="82"/>
      <c r="C669" s="83"/>
      <c r="D669" s="4"/>
      <c r="E669" s="4"/>
      <c r="F669" s="4"/>
      <c r="G669" s="4"/>
      <c r="H669" s="4"/>
      <c r="I669" s="8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82"/>
      <c r="B670" s="82"/>
      <c r="C670" s="83"/>
      <c r="D670" s="4"/>
      <c r="E670" s="4"/>
      <c r="F670" s="4"/>
      <c r="G670" s="4"/>
      <c r="H670" s="4"/>
      <c r="I670" s="8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82"/>
      <c r="B671" s="82"/>
      <c r="C671" s="83"/>
      <c r="D671" s="4"/>
      <c r="E671" s="4"/>
      <c r="F671" s="4"/>
      <c r="G671" s="4"/>
      <c r="H671" s="4"/>
      <c r="I671" s="8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82"/>
      <c r="B672" s="82"/>
      <c r="C672" s="83"/>
      <c r="D672" s="4"/>
      <c r="E672" s="4"/>
      <c r="F672" s="4"/>
      <c r="G672" s="4"/>
      <c r="H672" s="4"/>
      <c r="I672" s="8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82"/>
      <c r="B673" s="82"/>
      <c r="C673" s="83"/>
      <c r="D673" s="4"/>
      <c r="E673" s="4"/>
      <c r="F673" s="4"/>
      <c r="G673" s="4"/>
      <c r="H673" s="4"/>
      <c r="I673" s="8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82"/>
      <c r="B674" s="82"/>
      <c r="C674" s="83"/>
      <c r="D674" s="4"/>
      <c r="E674" s="4"/>
      <c r="F674" s="4"/>
      <c r="G674" s="4"/>
      <c r="H674" s="4"/>
      <c r="I674" s="8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82"/>
      <c r="B675" s="82"/>
      <c r="C675" s="83"/>
      <c r="D675" s="4"/>
      <c r="E675" s="4"/>
      <c r="F675" s="4"/>
      <c r="G675" s="4"/>
      <c r="H675" s="4"/>
      <c r="I675" s="8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82"/>
      <c r="B676" s="82"/>
      <c r="C676" s="83"/>
      <c r="D676" s="4"/>
      <c r="E676" s="4"/>
      <c r="F676" s="4"/>
      <c r="G676" s="4"/>
      <c r="H676" s="4"/>
      <c r="I676" s="8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82"/>
      <c r="B677" s="82"/>
      <c r="C677" s="83"/>
      <c r="D677" s="4"/>
      <c r="E677" s="4"/>
      <c r="F677" s="4"/>
      <c r="G677" s="4"/>
      <c r="H677" s="4"/>
      <c r="I677" s="8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82"/>
      <c r="B678" s="82"/>
      <c r="C678" s="83"/>
      <c r="D678" s="4"/>
      <c r="E678" s="4"/>
      <c r="F678" s="4"/>
      <c r="G678" s="4"/>
      <c r="H678" s="4"/>
      <c r="I678" s="8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82"/>
      <c r="B679" s="82"/>
      <c r="C679" s="83"/>
      <c r="D679" s="4"/>
      <c r="E679" s="4"/>
      <c r="F679" s="4"/>
      <c r="G679" s="4"/>
      <c r="H679" s="4"/>
      <c r="I679" s="8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82"/>
      <c r="B680" s="82"/>
      <c r="C680" s="83"/>
      <c r="D680" s="4"/>
      <c r="E680" s="4"/>
      <c r="F680" s="4"/>
      <c r="G680" s="4"/>
      <c r="H680" s="4"/>
      <c r="I680" s="8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82"/>
      <c r="B681" s="82"/>
      <c r="C681" s="83"/>
      <c r="D681" s="4"/>
      <c r="E681" s="4"/>
      <c r="F681" s="4"/>
      <c r="G681" s="4"/>
      <c r="H681" s="4"/>
      <c r="I681" s="8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82"/>
      <c r="B682" s="82"/>
      <c r="C682" s="83"/>
      <c r="D682" s="4"/>
      <c r="E682" s="4"/>
      <c r="F682" s="4"/>
      <c r="G682" s="4"/>
      <c r="H682" s="4"/>
      <c r="I682" s="8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82"/>
      <c r="B683" s="82"/>
      <c r="C683" s="83"/>
      <c r="D683" s="4"/>
      <c r="E683" s="4"/>
      <c r="F683" s="4"/>
      <c r="G683" s="4"/>
      <c r="H683" s="4"/>
      <c r="I683" s="8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82"/>
      <c r="B684" s="82"/>
      <c r="C684" s="83"/>
      <c r="D684" s="4"/>
      <c r="E684" s="4"/>
      <c r="F684" s="4"/>
      <c r="G684" s="4"/>
      <c r="H684" s="4"/>
      <c r="I684" s="8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82"/>
      <c r="B685" s="82"/>
      <c r="C685" s="83"/>
      <c r="D685" s="4"/>
      <c r="E685" s="4"/>
      <c r="F685" s="4"/>
      <c r="G685" s="4"/>
      <c r="H685" s="4"/>
      <c r="I685" s="8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82"/>
      <c r="B686" s="82"/>
      <c r="C686" s="83"/>
      <c r="D686" s="4"/>
      <c r="E686" s="4"/>
      <c r="F686" s="4"/>
      <c r="G686" s="4"/>
      <c r="H686" s="4"/>
      <c r="I686" s="8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82"/>
      <c r="B687" s="82"/>
      <c r="C687" s="83"/>
      <c r="D687" s="4"/>
      <c r="E687" s="4"/>
      <c r="F687" s="4"/>
      <c r="G687" s="4"/>
      <c r="H687" s="4"/>
      <c r="I687" s="8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82"/>
      <c r="B688" s="82"/>
      <c r="C688" s="83"/>
      <c r="D688" s="4"/>
      <c r="E688" s="4"/>
      <c r="F688" s="4"/>
      <c r="G688" s="4"/>
      <c r="H688" s="4"/>
      <c r="I688" s="8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82"/>
      <c r="B689" s="82"/>
      <c r="C689" s="83"/>
      <c r="D689" s="4"/>
      <c r="E689" s="4"/>
      <c r="F689" s="4"/>
      <c r="G689" s="4"/>
      <c r="H689" s="4"/>
      <c r="I689" s="8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82"/>
      <c r="B690" s="82"/>
      <c r="C690" s="83"/>
      <c r="D690" s="4"/>
      <c r="E690" s="4"/>
      <c r="F690" s="4"/>
      <c r="G690" s="4"/>
      <c r="H690" s="4"/>
      <c r="I690" s="8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82"/>
      <c r="B691" s="82"/>
      <c r="C691" s="83"/>
      <c r="D691" s="4"/>
      <c r="E691" s="4"/>
      <c r="F691" s="4"/>
      <c r="G691" s="4"/>
      <c r="H691" s="4"/>
      <c r="I691" s="8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82"/>
      <c r="B692" s="82"/>
      <c r="C692" s="83"/>
      <c r="D692" s="4"/>
      <c r="E692" s="4"/>
      <c r="F692" s="4"/>
      <c r="G692" s="4"/>
      <c r="H692" s="4"/>
      <c r="I692" s="8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82"/>
      <c r="B693" s="82"/>
      <c r="C693" s="83"/>
      <c r="D693" s="4"/>
      <c r="E693" s="4"/>
      <c r="F693" s="4"/>
      <c r="G693" s="4"/>
      <c r="H693" s="4"/>
      <c r="I693" s="8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82"/>
      <c r="B694" s="82"/>
      <c r="C694" s="83"/>
      <c r="D694" s="4"/>
      <c r="E694" s="4"/>
      <c r="F694" s="4"/>
      <c r="G694" s="4"/>
      <c r="H694" s="4"/>
      <c r="I694" s="8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82"/>
      <c r="B695" s="82"/>
      <c r="C695" s="83"/>
      <c r="D695" s="4"/>
      <c r="E695" s="4"/>
      <c r="F695" s="4"/>
      <c r="G695" s="4"/>
      <c r="H695" s="4"/>
      <c r="I695" s="8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82"/>
      <c r="B696" s="82"/>
      <c r="C696" s="83"/>
      <c r="D696" s="4"/>
      <c r="E696" s="4"/>
      <c r="F696" s="4"/>
      <c r="G696" s="4"/>
      <c r="H696" s="4"/>
      <c r="I696" s="8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82"/>
      <c r="B697" s="82"/>
      <c r="C697" s="83"/>
      <c r="D697" s="4"/>
      <c r="E697" s="4"/>
      <c r="F697" s="4"/>
      <c r="G697" s="4"/>
      <c r="H697" s="4"/>
      <c r="I697" s="8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82"/>
      <c r="B698" s="82"/>
      <c r="C698" s="83"/>
      <c r="D698" s="4"/>
      <c r="E698" s="4"/>
      <c r="F698" s="4"/>
      <c r="G698" s="4"/>
      <c r="H698" s="4"/>
      <c r="I698" s="8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82"/>
      <c r="B699" s="82"/>
      <c r="C699" s="83"/>
      <c r="D699" s="4"/>
      <c r="E699" s="4"/>
      <c r="F699" s="4"/>
      <c r="G699" s="4"/>
      <c r="H699" s="4"/>
      <c r="I699" s="8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82"/>
      <c r="B700" s="82"/>
      <c r="C700" s="83"/>
      <c r="D700" s="4"/>
      <c r="E700" s="4"/>
      <c r="F700" s="4"/>
      <c r="G700" s="4"/>
      <c r="H700" s="4"/>
      <c r="I700" s="8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82"/>
      <c r="B701" s="82"/>
      <c r="C701" s="83"/>
      <c r="D701" s="4"/>
      <c r="E701" s="4"/>
      <c r="F701" s="4"/>
      <c r="G701" s="4"/>
      <c r="H701" s="4"/>
      <c r="I701" s="8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82"/>
      <c r="B702" s="82"/>
      <c r="C702" s="83"/>
      <c r="D702" s="4"/>
      <c r="E702" s="4"/>
      <c r="F702" s="4"/>
      <c r="G702" s="4"/>
      <c r="H702" s="4"/>
      <c r="I702" s="8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82"/>
      <c r="B703" s="82"/>
      <c r="C703" s="83"/>
      <c r="D703" s="4"/>
      <c r="E703" s="4"/>
      <c r="F703" s="4"/>
      <c r="G703" s="4"/>
      <c r="H703" s="4"/>
      <c r="I703" s="8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82"/>
      <c r="B704" s="82"/>
      <c r="C704" s="83"/>
      <c r="D704" s="4"/>
      <c r="E704" s="4"/>
      <c r="F704" s="4"/>
      <c r="G704" s="4"/>
      <c r="H704" s="4"/>
      <c r="I704" s="8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82"/>
      <c r="B705" s="82"/>
      <c r="C705" s="83"/>
      <c r="D705" s="4"/>
      <c r="E705" s="4"/>
      <c r="F705" s="4"/>
      <c r="G705" s="4"/>
      <c r="H705" s="4"/>
      <c r="I705" s="8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82"/>
      <c r="B706" s="82"/>
      <c r="C706" s="83"/>
      <c r="D706" s="4"/>
      <c r="E706" s="4"/>
      <c r="F706" s="4"/>
      <c r="G706" s="4"/>
      <c r="H706" s="4"/>
      <c r="I706" s="8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82"/>
      <c r="B707" s="82"/>
      <c r="C707" s="83"/>
      <c r="D707" s="4"/>
      <c r="E707" s="4"/>
      <c r="F707" s="4"/>
      <c r="G707" s="4"/>
      <c r="H707" s="4"/>
      <c r="I707" s="8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82"/>
      <c r="B708" s="82"/>
      <c r="C708" s="83"/>
      <c r="D708" s="4"/>
      <c r="E708" s="4"/>
      <c r="F708" s="4"/>
      <c r="G708" s="4"/>
      <c r="H708" s="4"/>
      <c r="I708" s="8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82"/>
      <c r="B709" s="82"/>
      <c r="C709" s="83"/>
      <c r="D709" s="4"/>
      <c r="E709" s="4"/>
      <c r="F709" s="4"/>
      <c r="G709" s="4"/>
      <c r="H709" s="4"/>
      <c r="I709" s="8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82"/>
      <c r="B710" s="82"/>
      <c r="C710" s="83"/>
      <c r="D710" s="4"/>
      <c r="E710" s="4"/>
      <c r="F710" s="4"/>
      <c r="G710" s="4"/>
      <c r="H710" s="4"/>
      <c r="I710" s="8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82"/>
      <c r="B711" s="82"/>
      <c r="C711" s="83"/>
      <c r="D711" s="4"/>
      <c r="E711" s="4"/>
      <c r="F711" s="4"/>
      <c r="G711" s="4"/>
      <c r="H711" s="4"/>
      <c r="I711" s="8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82"/>
      <c r="B712" s="82"/>
      <c r="C712" s="83"/>
      <c r="D712" s="4"/>
      <c r="E712" s="4"/>
      <c r="F712" s="4"/>
      <c r="G712" s="4"/>
      <c r="H712" s="4"/>
      <c r="I712" s="8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82"/>
      <c r="B713" s="82"/>
      <c r="C713" s="83"/>
      <c r="D713" s="4"/>
      <c r="E713" s="4"/>
      <c r="F713" s="4"/>
      <c r="G713" s="4"/>
      <c r="H713" s="4"/>
      <c r="I713" s="8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82"/>
      <c r="B714" s="82"/>
      <c r="C714" s="83"/>
      <c r="D714" s="4"/>
      <c r="E714" s="4"/>
      <c r="F714" s="4"/>
      <c r="G714" s="4"/>
      <c r="H714" s="4"/>
      <c r="I714" s="8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82"/>
      <c r="B715" s="82"/>
      <c r="C715" s="83"/>
      <c r="D715" s="4"/>
      <c r="E715" s="4"/>
      <c r="F715" s="4"/>
      <c r="G715" s="4"/>
      <c r="H715" s="4"/>
      <c r="I715" s="8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82"/>
      <c r="B716" s="82"/>
      <c r="C716" s="83"/>
      <c r="D716" s="4"/>
      <c r="E716" s="4"/>
      <c r="F716" s="4"/>
      <c r="G716" s="4"/>
      <c r="H716" s="4"/>
      <c r="I716" s="8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82"/>
      <c r="B717" s="82"/>
      <c r="C717" s="83"/>
      <c r="D717" s="4"/>
      <c r="E717" s="4"/>
      <c r="F717" s="4"/>
      <c r="G717" s="4"/>
      <c r="H717" s="4"/>
      <c r="I717" s="8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82"/>
      <c r="B718" s="82"/>
      <c r="C718" s="83"/>
      <c r="D718" s="4"/>
      <c r="E718" s="4"/>
      <c r="F718" s="4"/>
      <c r="G718" s="4"/>
      <c r="H718" s="4"/>
      <c r="I718" s="8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82"/>
      <c r="B719" s="82"/>
      <c r="C719" s="83"/>
      <c r="D719" s="4"/>
      <c r="E719" s="4"/>
      <c r="F719" s="4"/>
      <c r="G719" s="4"/>
      <c r="H719" s="4"/>
      <c r="I719" s="8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82"/>
      <c r="B720" s="82"/>
      <c r="C720" s="83"/>
      <c r="D720" s="4"/>
      <c r="E720" s="4"/>
      <c r="F720" s="4"/>
      <c r="G720" s="4"/>
      <c r="H720" s="4"/>
      <c r="I720" s="8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82"/>
      <c r="B721" s="82"/>
      <c r="C721" s="83"/>
      <c r="D721" s="4"/>
      <c r="E721" s="4"/>
      <c r="F721" s="4"/>
      <c r="G721" s="4"/>
      <c r="H721" s="4"/>
      <c r="I721" s="8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82"/>
      <c r="B722" s="82"/>
      <c r="C722" s="83"/>
      <c r="D722" s="4"/>
      <c r="E722" s="4"/>
      <c r="F722" s="4"/>
      <c r="G722" s="4"/>
      <c r="H722" s="4"/>
      <c r="I722" s="8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82"/>
      <c r="B723" s="82"/>
      <c r="C723" s="83"/>
      <c r="D723" s="4"/>
      <c r="E723" s="4"/>
      <c r="F723" s="4"/>
      <c r="G723" s="4"/>
      <c r="H723" s="4"/>
      <c r="I723" s="8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82"/>
      <c r="B724" s="82"/>
      <c r="C724" s="83"/>
      <c r="D724" s="4"/>
      <c r="E724" s="4"/>
      <c r="F724" s="4"/>
      <c r="G724" s="4"/>
      <c r="H724" s="4"/>
      <c r="I724" s="8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82"/>
      <c r="B725" s="82"/>
      <c r="C725" s="83"/>
      <c r="D725" s="4"/>
      <c r="E725" s="4"/>
      <c r="F725" s="4"/>
      <c r="G725" s="4"/>
      <c r="H725" s="4"/>
      <c r="I725" s="8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82"/>
      <c r="B726" s="82"/>
      <c r="C726" s="83"/>
      <c r="D726" s="4"/>
      <c r="E726" s="4"/>
      <c r="F726" s="4"/>
      <c r="G726" s="4"/>
      <c r="H726" s="4"/>
      <c r="I726" s="8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82"/>
      <c r="B727" s="82"/>
      <c r="C727" s="83"/>
      <c r="D727" s="4"/>
      <c r="E727" s="4"/>
      <c r="F727" s="4"/>
      <c r="G727" s="4"/>
      <c r="H727" s="4"/>
      <c r="I727" s="8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82"/>
      <c r="B728" s="82"/>
      <c r="C728" s="83"/>
      <c r="D728" s="4"/>
      <c r="E728" s="4"/>
      <c r="F728" s="4"/>
      <c r="G728" s="4"/>
      <c r="H728" s="4"/>
      <c r="I728" s="8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82"/>
      <c r="B729" s="82"/>
      <c r="C729" s="83"/>
      <c r="D729" s="4"/>
      <c r="E729" s="4"/>
      <c r="F729" s="4"/>
      <c r="G729" s="4"/>
      <c r="H729" s="4"/>
      <c r="I729" s="8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82"/>
      <c r="B730" s="82"/>
      <c r="C730" s="83"/>
      <c r="D730" s="4"/>
      <c r="E730" s="4"/>
      <c r="F730" s="4"/>
      <c r="G730" s="4"/>
      <c r="H730" s="4"/>
      <c r="I730" s="8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82"/>
      <c r="B731" s="82"/>
      <c r="C731" s="83"/>
      <c r="D731" s="4"/>
      <c r="E731" s="4"/>
      <c r="F731" s="4"/>
      <c r="G731" s="4"/>
      <c r="H731" s="4"/>
      <c r="I731" s="8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82"/>
      <c r="B732" s="82"/>
      <c r="C732" s="83"/>
      <c r="D732" s="4"/>
      <c r="E732" s="4"/>
      <c r="F732" s="4"/>
      <c r="G732" s="4"/>
      <c r="H732" s="4"/>
      <c r="I732" s="8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82"/>
      <c r="B733" s="82"/>
      <c r="C733" s="83"/>
      <c r="D733" s="4"/>
      <c r="E733" s="4"/>
      <c r="F733" s="4"/>
      <c r="G733" s="4"/>
      <c r="H733" s="4"/>
      <c r="I733" s="8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82"/>
      <c r="B734" s="82"/>
      <c r="C734" s="83"/>
      <c r="D734" s="4"/>
      <c r="E734" s="4"/>
      <c r="F734" s="4"/>
      <c r="G734" s="4"/>
      <c r="H734" s="4"/>
      <c r="I734" s="8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82"/>
      <c r="B735" s="82"/>
      <c r="C735" s="83"/>
      <c r="D735" s="4"/>
      <c r="E735" s="4"/>
      <c r="F735" s="4"/>
      <c r="G735" s="4"/>
      <c r="H735" s="4"/>
      <c r="I735" s="8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82"/>
      <c r="B736" s="82"/>
      <c r="C736" s="83"/>
      <c r="D736" s="4"/>
      <c r="E736" s="4"/>
      <c r="F736" s="4"/>
      <c r="G736" s="4"/>
      <c r="H736" s="4"/>
      <c r="I736" s="8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82"/>
      <c r="B737" s="82"/>
      <c r="C737" s="83"/>
      <c r="D737" s="4"/>
      <c r="E737" s="4"/>
      <c r="F737" s="4"/>
      <c r="G737" s="4"/>
      <c r="H737" s="4"/>
      <c r="I737" s="8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82"/>
      <c r="B738" s="82"/>
      <c r="C738" s="83"/>
      <c r="D738" s="4"/>
      <c r="E738" s="4"/>
      <c r="F738" s="4"/>
      <c r="G738" s="4"/>
      <c r="H738" s="4"/>
      <c r="I738" s="8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82"/>
      <c r="B739" s="82"/>
      <c r="C739" s="83"/>
      <c r="D739" s="4"/>
      <c r="E739" s="4"/>
      <c r="F739" s="4"/>
      <c r="G739" s="4"/>
      <c r="H739" s="4"/>
      <c r="I739" s="8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82"/>
      <c r="B740" s="82"/>
      <c r="C740" s="83"/>
      <c r="D740" s="4"/>
      <c r="E740" s="4"/>
      <c r="F740" s="4"/>
      <c r="G740" s="4"/>
      <c r="H740" s="4"/>
      <c r="I740" s="8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82"/>
      <c r="B741" s="82"/>
      <c r="C741" s="83"/>
      <c r="D741" s="4"/>
      <c r="E741" s="4"/>
      <c r="F741" s="4"/>
      <c r="G741" s="4"/>
      <c r="H741" s="4"/>
      <c r="I741" s="8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82"/>
      <c r="B742" s="82"/>
      <c r="C742" s="83"/>
      <c r="D742" s="4"/>
      <c r="E742" s="4"/>
      <c r="F742" s="4"/>
      <c r="G742" s="4"/>
      <c r="H742" s="4"/>
      <c r="I742" s="8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82"/>
      <c r="B743" s="82"/>
      <c r="C743" s="83"/>
      <c r="D743" s="4"/>
      <c r="E743" s="4"/>
      <c r="F743" s="4"/>
      <c r="G743" s="4"/>
      <c r="H743" s="4"/>
      <c r="I743" s="8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82"/>
      <c r="B744" s="82"/>
      <c r="C744" s="83"/>
      <c r="D744" s="4"/>
      <c r="E744" s="4"/>
      <c r="F744" s="4"/>
      <c r="G744" s="4"/>
      <c r="H744" s="4"/>
      <c r="I744" s="8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82"/>
      <c r="B745" s="82"/>
      <c r="C745" s="83"/>
      <c r="D745" s="4"/>
      <c r="E745" s="4"/>
      <c r="F745" s="4"/>
      <c r="G745" s="4"/>
      <c r="H745" s="4"/>
      <c r="I745" s="8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82"/>
      <c r="B746" s="82"/>
      <c r="C746" s="83"/>
      <c r="D746" s="4"/>
      <c r="E746" s="4"/>
      <c r="F746" s="4"/>
      <c r="G746" s="4"/>
      <c r="H746" s="4"/>
      <c r="I746" s="8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82"/>
      <c r="B747" s="82"/>
      <c r="C747" s="83"/>
      <c r="D747" s="4"/>
      <c r="E747" s="4"/>
      <c r="F747" s="4"/>
      <c r="G747" s="4"/>
      <c r="H747" s="4"/>
      <c r="I747" s="8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82"/>
      <c r="B748" s="82"/>
      <c r="C748" s="83"/>
      <c r="D748" s="4"/>
      <c r="E748" s="4"/>
      <c r="F748" s="4"/>
      <c r="G748" s="4"/>
      <c r="H748" s="4"/>
      <c r="I748" s="8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82"/>
      <c r="B749" s="82"/>
      <c r="C749" s="83"/>
      <c r="D749" s="4"/>
      <c r="E749" s="4"/>
      <c r="F749" s="4"/>
      <c r="G749" s="4"/>
      <c r="H749" s="4"/>
      <c r="I749" s="8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82"/>
      <c r="B750" s="82"/>
      <c r="C750" s="83"/>
      <c r="D750" s="4"/>
      <c r="E750" s="4"/>
      <c r="F750" s="4"/>
      <c r="G750" s="4"/>
      <c r="H750" s="4"/>
      <c r="I750" s="8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82"/>
      <c r="B751" s="82"/>
      <c r="C751" s="83"/>
      <c r="D751" s="4"/>
      <c r="E751" s="4"/>
      <c r="F751" s="4"/>
      <c r="G751" s="4"/>
      <c r="H751" s="4"/>
      <c r="I751" s="8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82"/>
      <c r="B752" s="82"/>
      <c r="C752" s="83"/>
      <c r="D752" s="4"/>
      <c r="E752" s="4"/>
      <c r="F752" s="4"/>
      <c r="G752" s="4"/>
      <c r="H752" s="4"/>
      <c r="I752" s="8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82"/>
      <c r="B753" s="82"/>
      <c r="C753" s="83"/>
      <c r="D753" s="4"/>
      <c r="E753" s="4"/>
      <c r="F753" s="4"/>
      <c r="G753" s="4"/>
      <c r="H753" s="4"/>
      <c r="I753" s="8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82"/>
      <c r="B754" s="82"/>
      <c r="C754" s="83"/>
      <c r="D754" s="4"/>
      <c r="E754" s="4"/>
      <c r="F754" s="4"/>
      <c r="G754" s="4"/>
      <c r="H754" s="4"/>
      <c r="I754" s="8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82"/>
      <c r="B755" s="82"/>
      <c r="C755" s="83"/>
      <c r="D755" s="4"/>
      <c r="E755" s="4"/>
      <c r="F755" s="4"/>
      <c r="G755" s="4"/>
      <c r="H755" s="4"/>
      <c r="I755" s="8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82"/>
      <c r="B756" s="82"/>
      <c r="C756" s="83"/>
      <c r="D756" s="4"/>
      <c r="E756" s="4"/>
      <c r="F756" s="4"/>
      <c r="G756" s="4"/>
      <c r="H756" s="4"/>
      <c r="I756" s="8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82"/>
      <c r="B757" s="82"/>
      <c r="C757" s="83"/>
      <c r="D757" s="4"/>
      <c r="E757" s="4"/>
      <c r="F757" s="4"/>
      <c r="G757" s="4"/>
      <c r="H757" s="4"/>
      <c r="I757" s="8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82"/>
      <c r="B758" s="82"/>
      <c r="C758" s="83"/>
      <c r="D758" s="4"/>
      <c r="E758" s="4"/>
      <c r="F758" s="4"/>
      <c r="G758" s="4"/>
      <c r="H758" s="4"/>
      <c r="I758" s="8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82"/>
      <c r="B759" s="82"/>
      <c r="C759" s="83"/>
      <c r="D759" s="4"/>
      <c r="E759" s="4"/>
      <c r="F759" s="4"/>
      <c r="G759" s="4"/>
      <c r="H759" s="4"/>
      <c r="I759" s="8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82"/>
      <c r="B760" s="82"/>
      <c r="C760" s="83"/>
      <c r="D760" s="4"/>
      <c r="E760" s="4"/>
      <c r="F760" s="4"/>
      <c r="G760" s="4"/>
      <c r="H760" s="4"/>
      <c r="I760" s="8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82"/>
      <c r="B761" s="82"/>
      <c r="C761" s="83"/>
      <c r="D761" s="4"/>
      <c r="E761" s="4"/>
      <c r="F761" s="4"/>
      <c r="G761" s="4"/>
      <c r="H761" s="4"/>
      <c r="I761" s="8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82"/>
      <c r="B762" s="82"/>
      <c r="C762" s="83"/>
      <c r="D762" s="4"/>
      <c r="E762" s="4"/>
      <c r="F762" s="4"/>
      <c r="G762" s="4"/>
      <c r="H762" s="4"/>
      <c r="I762" s="8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82"/>
      <c r="B763" s="82"/>
      <c r="C763" s="83"/>
      <c r="D763" s="4"/>
      <c r="E763" s="4"/>
      <c r="F763" s="4"/>
      <c r="G763" s="4"/>
      <c r="H763" s="4"/>
      <c r="I763" s="8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82"/>
      <c r="B764" s="82"/>
      <c r="C764" s="83"/>
      <c r="D764" s="4"/>
      <c r="E764" s="4"/>
      <c r="F764" s="4"/>
      <c r="G764" s="4"/>
      <c r="H764" s="4"/>
      <c r="I764" s="8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82"/>
      <c r="B765" s="82"/>
      <c r="C765" s="83"/>
      <c r="D765" s="4"/>
      <c r="E765" s="4"/>
      <c r="F765" s="4"/>
      <c r="G765" s="4"/>
      <c r="H765" s="4"/>
      <c r="I765" s="8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82"/>
      <c r="B766" s="82"/>
      <c r="C766" s="83"/>
      <c r="D766" s="4"/>
      <c r="E766" s="4"/>
      <c r="F766" s="4"/>
      <c r="G766" s="4"/>
      <c r="H766" s="4"/>
      <c r="I766" s="8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82"/>
      <c r="B767" s="82"/>
      <c r="C767" s="83"/>
      <c r="D767" s="4"/>
      <c r="E767" s="4"/>
      <c r="F767" s="4"/>
      <c r="G767" s="4"/>
      <c r="H767" s="4"/>
      <c r="I767" s="8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82"/>
      <c r="B768" s="82"/>
      <c r="C768" s="83"/>
      <c r="D768" s="4"/>
      <c r="E768" s="4"/>
      <c r="F768" s="4"/>
      <c r="G768" s="4"/>
      <c r="H768" s="4"/>
      <c r="I768" s="8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82"/>
      <c r="B769" s="82"/>
      <c r="C769" s="83"/>
      <c r="D769" s="4"/>
      <c r="E769" s="4"/>
      <c r="F769" s="4"/>
      <c r="G769" s="4"/>
      <c r="H769" s="4"/>
      <c r="I769" s="8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82"/>
      <c r="B770" s="82"/>
      <c r="C770" s="83"/>
      <c r="D770" s="4"/>
      <c r="E770" s="4"/>
      <c r="F770" s="4"/>
      <c r="G770" s="4"/>
      <c r="H770" s="4"/>
      <c r="I770" s="8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82"/>
      <c r="B771" s="82"/>
      <c r="C771" s="83"/>
      <c r="D771" s="4"/>
      <c r="E771" s="4"/>
      <c r="F771" s="4"/>
      <c r="G771" s="4"/>
      <c r="H771" s="4"/>
      <c r="I771" s="8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82"/>
      <c r="B772" s="82"/>
      <c r="C772" s="83"/>
      <c r="D772" s="4"/>
      <c r="E772" s="4"/>
      <c r="F772" s="4"/>
      <c r="G772" s="4"/>
      <c r="H772" s="4"/>
      <c r="I772" s="8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82"/>
      <c r="B773" s="82"/>
      <c r="C773" s="83"/>
      <c r="D773" s="4"/>
      <c r="E773" s="4"/>
      <c r="F773" s="4"/>
      <c r="G773" s="4"/>
      <c r="H773" s="4"/>
      <c r="I773" s="8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82"/>
      <c r="B774" s="82"/>
      <c r="C774" s="83"/>
      <c r="D774" s="4"/>
      <c r="E774" s="4"/>
      <c r="F774" s="4"/>
      <c r="G774" s="4"/>
      <c r="H774" s="4"/>
      <c r="I774" s="8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82"/>
      <c r="B775" s="82"/>
      <c r="C775" s="83"/>
      <c r="D775" s="4"/>
      <c r="E775" s="4"/>
      <c r="F775" s="4"/>
      <c r="G775" s="4"/>
      <c r="H775" s="4"/>
      <c r="I775" s="8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82"/>
      <c r="B776" s="82"/>
      <c r="C776" s="83"/>
      <c r="D776" s="4"/>
      <c r="E776" s="4"/>
      <c r="F776" s="4"/>
      <c r="G776" s="4"/>
      <c r="H776" s="4"/>
      <c r="I776" s="8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82"/>
      <c r="B777" s="82"/>
      <c r="C777" s="83"/>
      <c r="D777" s="4"/>
      <c r="E777" s="4"/>
      <c r="F777" s="4"/>
      <c r="G777" s="4"/>
      <c r="H777" s="4"/>
      <c r="I777" s="8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82"/>
      <c r="B778" s="82"/>
      <c r="C778" s="83"/>
      <c r="D778" s="4"/>
      <c r="E778" s="4"/>
      <c r="F778" s="4"/>
      <c r="G778" s="4"/>
      <c r="H778" s="4"/>
      <c r="I778" s="8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82"/>
      <c r="B779" s="82"/>
      <c r="C779" s="83"/>
      <c r="D779" s="4"/>
      <c r="E779" s="4"/>
      <c r="F779" s="4"/>
      <c r="G779" s="4"/>
      <c r="H779" s="4"/>
      <c r="I779" s="8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82"/>
      <c r="B780" s="82"/>
      <c r="C780" s="83"/>
      <c r="D780" s="4"/>
      <c r="E780" s="4"/>
      <c r="F780" s="4"/>
      <c r="G780" s="4"/>
      <c r="H780" s="4"/>
      <c r="I780" s="8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82"/>
      <c r="B781" s="82"/>
      <c r="C781" s="83"/>
      <c r="D781" s="4"/>
      <c r="E781" s="4"/>
      <c r="F781" s="4"/>
      <c r="G781" s="4"/>
      <c r="H781" s="4"/>
      <c r="I781" s="8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82"/>
      <c r="B782" s="82"/>
      <c r="C782" s="83"/>
      <c r="D782" s="4"/>
      <c r="E782" s="4"/>
      <c r="F782" s="4"/>
      <c r="G782" s="4"/>
      <c r="H782" s="4"/>
      <c r="I782" s="8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82"/>
      <c r="B783" s="82"/>
      <c r="C783" s="83"/>
      <c r="D783" s="4"/>
      <c r="E783" s="4"/>
      <c r="F783" s="4"/>
      <c r="G783" s="4"/>
      <c r="H783" s="4"/>
      <c r="I783" s="8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82"/>
      <c r="B784" s="82"/>
      <c r="C784" s="83"/>
      <c r="D784" s="4"/>
      <c r="E784" s="4"/>
      <c r="F784" s="4"/>
      <c r="G784" s="4"/>
      <c r="H784" s="4"/>
      <c r="I784" s="8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82"/>
      <c r="B785" s="82"/>
      <c r="C785" s="83"/>
      <c r="D785" s="4"/>
      <c r="E785" s="4"/>
      <c r="F785" s="4"/>
      <c r="G785" s="4"/>
      <c r="H785" s="4"/>
      <c r="I785" s="8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82"/>
      <c r="B786" s="82"/>
      <c r="C786" s="83"/>
      <c r="D786" s="4"/>
      <c r="E786" s="4"/>
      <c r="F786" s="4"/>
      <c r="G786" s="4"/>
      <c r="H786" s="4"/>
      <c r="I786" s="8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82"/>
      <c r="B787" s="82"/>
      <c r="C787" s="83"/>
      <c r="D787" s="4"/>
      <c r="E787" s="4"/>
      <c r="F787" s="4"/>
      <c r="G787" s="4"/>
      <c r="H787" s="4"/>
      <c r="I787" s="8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82"/>
      <c r="B788" s="82"/>
      <c r="C788" s="83"/>
      <c r="D788" s="4"/>
      <c r="E788" s="4"/>
      <c r="F788" s="4"/>
      <c r="G788" s="4"/>
      <c r="H788" s="4"/>
      <c r="I788" s="8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82"/>
      <c r="B789" s="82"/>
      <c r="C789" s="83"/>
      <c r="D789" s="4"/>
      <c r="E789" s="4"/>
      <c r="F789" s="4"/>
      <c r="G789" s="4"/>
      <c r="H789" s="4"/>
      <c r="I789" s="8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82"/>
      <c r="B790" s="82"/>
      <c r="C790" s="83"/>
      <c r="D790" s="4"/>
      <c r="E790" s="4"/>
      <c r="F790" s="4"/>
      <c r="G790" s="4"/>
      <c r="H790" s="4"/>
      <c r="I790" s="8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82"/>
      <c r="B791" s="82"/>
      <c r="C791" s="83"/>
      <c r="D791" s="4"/>
      <c r="E791" s="4"/>
      <c r="F791" s="4"/>
      <c r="G791" s="4"/>
      <c r="H791" s="4"/>
      <c r="I791" s="8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82"/>
      <c r="B792" s="82"/>
      <c r="C792" s="83"/>
      <c r="D792" s="4"/>
      <c r="E792" s="4"/>
      <c r="F792" s="4"/>
      <c r="G792" s="4"/>
      <c r="H792" s="4"/>
      <c r="I792" s="8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82"/>
      <c r="B793" s="82"/>
      <c r="C793" s="83"/>
      <c r="D793" s="4"/>
      <c r="E793" s="4"/>
      <c r="F793" s="4"/>
      <c r="G793" s="4"/>
      <c r="H793" s="4"/>
      <c r="I793" s="8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82"/>
      <c r="B794" s="82"/>
      <c r="C794" s="83"/>
      <c r="D794" s="4"/>
      <c r="E794" s="4"/>
      <c r="F794" s="4"/>
      <c r="G794" s="4"/>
      <c r="H794" s="4"/>
      <c r="I794" s="8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82"/>
      <c r="B795" s="82"/>
      <c r="C795" s="83"/>
      <c r="D795" s="4"/>
      <c r="E795" s="4"/>
      <c r="F795" s="4"/>
      <c r="G795" s="4"/>
      <c r="H795" s="4"/>
      <c r="I795" s="8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82"/>
      <c r="B796" s="82"/>
      <c r="C796" s="83"/>
      <c r="D796" s="4"/>
      <c r="E796" s="4"/>
      <c r="F796" s="4"/>
      <c r="G796" s="4"/>
      <c r="H796" s="4"/>
      <c r="I796" s="8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82"/>
      <c r="B797" s="82"/>
      <c r="C797" s="83"/>
      <c r="D797" s="4"/>
      <c r="E797" s="4"/>
      <c r="F797" s="4"/>
      <c r="G797" s="4"/>
      <c r="H797" s="4"/>
      <c r="I797" s="8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82"/>
      <c r="B798" s="82"/>
      <c r="C798" s="83"/>
      <c r="D798" s="4"/>
      <c r="E798" s="4"/>
      <c r="F798" s="4"/>
      <c r="G798" s="4"/>
      <c r="H798" s="4"/>
      <c r="I798" s="8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82"/>
      <c r="B799" s="82"/>
      <c r="C799" s="83"/>
      <c r="D799" s="4"/>
      <c r="E799" s="4"/>
      <c r="F799" s="4"/>
      <c r="G799" s="4"/>
      <c r="H799" s="4"/>
      <c r="I799" s="8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82"/>
      <c r="B800" s="82"/>
      <c r="C800" s="83"/>
      <c r="D800" s="4"/>
      <c r="E800" s="4"/>
      <c r="F800" s="4"/>
      <c r="G800" s="4"/>
      <c r="H800" s="4"/>
      <c r="I800" s="8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82"/>
      <c r="B801" s="82"/>
      <c r="C801" s="83"/>
      <c r="D801" s="4"/>
      <c r="E801" s="4"/>
      <c r="F801" s="4"/>
      <c r="G801" s="4"/>
      <c r="H801" s="4"/>
      <c r="I801" s="8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82"/>
      <c r="B802" s="82"/>
      <c r="C802" s="83"/>
      <c r="D802" s="4"/>
      <c r="E802" s="4"/>
      <c r="F802" s="4"/>
      <c r="G802" s="4"/>
      <c r="H802" s="4"/>
      <c r="I802" s="8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82"/>
      <c r="B803" s="82"/>
      <c r="C803" s="83"/>
      <c r="D803" s="4"/>
      <c r="E803" s="4"/>
      <c r="F803" s="4"/>
      <c r="G803" s="4"/>
      <c r="H803" s="4"/>
      <c r="I803" s="8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82"/>
      <c r="B804" s="82"/>
      <c r="C804" s="83"/>
      <c r="D804" s="4"/>
      <c r="E804" s="4"/>
      <c r="F804" s="4"/>
      <c r="G804" s="4"/>
      <c r="H804" s="4"/>
      <c r="I804" s="8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82"/>
      <c r="B805" s="82"/>
      <c r="C805" s="83"/>
      <c r="D805" s="4"/>
      <c r="E805" s="4"/>
      <c r="F805" s="4"/>
      <c r="G805" s="4"/>
      <c r="H805" s="4"/>
      <c r="I805" s="8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82"/>
      <c r="B806" s="82"/>
      <c r="C806" s="83"/>
      <c r="D806" s="4"/>
      <c r="E806" s="4"/>
      <c r="F806" s="4"/>
      <c r="G806" s="4"/>
      <c r="H806" s="4"/>
      <c r="I806" s="8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82"/>
      <c r="B807" s="82"/>
      <c r="C807" s="83"/>
      <c r="D807" s="4"/>
      <c r="E807" s="4"/>
      <c r="F807" s="4"/>
      <c r="G807" s="4"/>
      <c r="H807" s="4"/>
      <c r="I807" s="8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82"/>
      <c r="B808" s="82"/>
      <c r="C808" s="83"/>
      <c r="D808" s="4"/>
      <c r="E808" s="4"/>
      <c r="F808" s="4"/>
      <c r="G808" s="4"/>
      <c r="H808" s="4"/>
      <c r="I808" s="8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82"/>
      <c r="B809" s="82"/>
      <c r="C809" s="83"/>
      <c r="D809" s="4"/>
      <c r="E809" s="4"/>
      <c r="F809" s="4"/>
      <c r="G809" s="4"/>
      <c r="H809" s="4"/>
      <c r="I809" s="8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82"/>
      <c r="B810" s="82"/>
      <c r="C810" s="83"/>
      <c r="D810" s="4"/>
      <c r="E810" s="4"/>
      <c r="F810" s="4"/>
      <c r="G810" s="4"/>
      <c r="H810" s="4"/>
      <c r="I810" s="8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82"/>
      <c r="B811" s="82"/>
      <c r="C811" s="83"/>
      <c r="D811" s="4"/>
      <c r="E811" s="4"/>
      <c r="F811" s="4"/>
      <c r="G811" s="4"/>
      <c r="H811" s="4"/>
      <c r="I811" s="8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82"/>
      <c r="B812" s="82"/>
      <c r="C812" s="83"/>
      <c r="D812" s="4"/>
      <c r="E812" s="4"/>
      <c r="F812" s="4"/>
      <c r="G812" s="4"/>
      <c r="H812" s="4"/>
      <c r="I812" s="8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82"/>
      <c r="B813" s="82"/>
      <c r="C813" s="83"/>
      <c r="D813" s="4"/>
      <c r="E813" s="4"/>
      <c r="F813" s="4"/>
      <c r="G813" s="4"/>
      <c r="H813" s="4"/>
      <c r="I813" s="8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82"/>
      <c r="B814" s="82"/>
      <c r="C814" s="83"/>
      <c r="D814" s="4"/>
      <c r="E814" s="4"/>
      <c r="F814" s="4"/>
      <c r="G814" s="4"/>
      <c r="H814" s="4"/>
      <c r="I814" s="8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82"/>
      <c r="B815" s="82"/>
      <c r="C815" s="83"/>
      <c r="D815" s="4"/>
      <c r="E815" s="4"/>
      <c r="F815" s="4"/>
      <c r="G815" s="4"/>
      <c r="H815" s="4"/>
      <c r="I815" s="8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82"/>
      <c r="B816" s="82"/>
      <c r="C816" s="83"/>
      <c r="D816" s="4"/>
      <c r="E816" s="4"/>
      <c r="F816" s="4"/>
      <c r="G816" s="4"/>
      <c r="H816" s="4"/>
      <c r="I816" s="8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82"/>
      <c r="B817" s="82"/>
      <c r="C817" s="83"/>
      <c r="D817" s="4"/>
      <c r="E817" s="4"/>
      <c r="F817" s="4"/>
      <c r="G817" s="4"/>
      <c r="H817" s="4"/>
      <c r="I817" s="8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82"/>
      <c r="B818" s="82"/>
      <c r="C818" s="83"/>
      <c r="D818" s="4"/>
      <c r="E818" s="4"/>
      <c r="F818" s="4"/>
      <c r="G818" s="4"/>
      <c r="H818" s="4"/>
      <c r="I818" s="8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82"/>
      <c r="B819" s="82"/>
      <c r="C819" s="83"/>
      <c r="D819" s="4"/>
      <c r="E819" s="4"/>
      <c r="F819" s="4"/>
      <c r="G819" s="4"/>
      <c r="H819" s="4"/>
      <c r="I819" s="8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82"/>
      <c r="B820" s="82"/>
      <c r="C820" s="83"/>
      <c r="D820" s="4"/>
      <c r="E820" s="4"/>
      <c r="F820" s="4"/>
      <c r="G820" s="4"/>
      <c r="H820" s="4"/>
      <c r="I820" s="8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82"/>
      <c r="B821" s="82"/>
      <c r="C821" s="83"/>
      <c r="D821" s="4"/>
      <c r="E821" s="4"/>
      <c r="F821" s="4"/>
      <c r="G821" s="4"/>
      <c r="H821" s="4"/>
      <c r="I821" s="8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82"/>
      <c r="B822" s="82"/>
      <c r="C822" s="83"/>
      <c r="D822" s="4"/>
      <c r="E822" s="4"/>
      <c r="F822" s="4"/>
      <c r="G822" s="4"/>
      <c r="H822" s="4"/>
      <c r="I822" s="8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82"/>
      <c r="B823" s="82"/>
      <c r="C823" s="83"/>
      <c r="D823" s="4"/>
      <c r="E823" s="4"/>
      <c r="F823" s="4"/>
      <c r="G823" s="4"/>
      <c r="H823" s="4"/>
      <c r="I823" s="8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82"/>
      <c r="B824" s="82"/>
      <c r="C824" s="83"/>
      <c r="D824" s="4"/>
      <c r="E824" s="4"/>
      <c r="F824" s="4"/>
      <c r="G824" s="4"/>
      <c r="H824" s="4"/>
      <c r="I824" s="8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82"/>
      <c r="B825" s="82"/>
      <c r="C825" s="83"/>
      <c r="D825" s="4"/>
      <c r="E825" s="4"/>
      <c r="F825" s="4"/>
      <c r="G825" s="4"/>
      <c r="H825" s="4"/>
      <c r="I825" s="8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82"/>
      <c r="B826" s="82"/>
      <c r="C826" s="83"/>
      <c r="D826" s="4"/>
      <c r="E826" s="4"/>
      <c r="F826" s="4"/>
      <c r="G826" s="4"/>
      <c r="H826" s="4"/>
      <c r="I826" s="8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82"/>
      <c r="B827" s="82"/>
      <c r="C827" s="83"/>
      <c r="D827" s="4"/>
      <c r="E827" s="4"/>
      <c r="F827" s="4"/>
      <c r="G827" s="4"/>
      <c r="H827" s="4"/>
      <c r="I827" s="8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82"/>
      <c r="B828" s="82"/>
      <c r="C828" s="83"/>
      <c r="D828" s="4"/>
      <c r="E828" s="4"/>
      <c r="F828" s="4"/>
      <c r="G828" s="4"/>
      <c r="H828" s="4"/>
      <c r="I828" s="8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82"/>
      <c r="B829" s="82"/>
      <c r="C829" s="83"/>
      <c r="D829" s="4"/>
      <c r="E829" s="4"/>
      <c r="F829" s="4"/>
      <c r="G829" s="4"/>
      <c r="H829" s="4"/>
      <c r="I829" s="8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82"/>
      <c r="B830" s="82"/>
      <c r="C830" s="83"/>
      <c r="D830" s="4"/>
      <c r="E830" s="4"/>
      <c r="F830" s="4"/>
      <c r="G830" s="4"/>
      <c r="H830" s="4"/>
      <c r="I830" s="8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82"/>
      <c r="B831" s="82"/>
      <c r="C831" s="83"/>
      <c r="D831" s="4"/>
      <c r="E831" s="4"/>
      <c r="F831" s="4"/>
      <c r="G831" s="4"/>
      <c r="H831" s="4"/>
      <c r="I831" s="8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82"/>
      <c r="B832" s="82"/>
      <c r="C832" s="83"/>
      <c r="D832" s="4"/>
      <c r="E832" s="4"/>
      <c r="F832" s="4"/>
      <c r="G832" s="4"/>
      <c r="H832" s="4"/>
      <c r="I832" s="8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82"/>
      <c r="B833" s="82"/>
      <c r="C833" s="83"/>
      <c r="D833" s="4"/>
      <c r="E833" s="4"/>
      <c r="F833" s="4"/>
      <c r="G833" s="4"/>
      <c r="H833" s="4"/>
      <c r="I833" s="8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82"/>
      <c r="B834" s="82"/>
      <c r="C834" s="83"/>
      <c r="D834" s="4"/>
      <c r="E834" s="4"/>
      <c r="F834" s="4"/>
      <c r="G834" s="4"/>
      <c r="H834" s="4"/>
      <c r="I834" s="8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82"/>
      <c r="B835" s="82"/>
      <c r="C835" s="83"/>
      <c r="D835" s="4"/>
      <c r="E835" s="4"/>
      <c r="F835" s="4"/>
      <c r="G835" s="4"/>
      <c r="H835" s="4"/>
      <c r="I835" s="8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82"/>
      <c r="B836" s="82"/>
      <c r="C836" s="83"/>
      <c r="D836" s="4"/>
      <c r="E836" s="4"/>
      <c r="F836" s="4"/>
      <c r="G836" s="4"/>
      <c r="H836" s="4"/>
      <c r="I836" s="8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82"/>
      <c r="B837" s="82"/>
      <c r="C837" s="83"/>
      <c r="D837" s="4"/>
      <c r="E837" s="4"/>
      <c r="F837" s="4"/>
      <c r="G837" s="4"/>
      <c r="H837" s="4"/>
      <c r="I837" s="8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82"/>
      <c r="B838" s="82"/>
      <c r="C838" s="83"/>
      <c r="D838" s="4"/>
      <c r="E838" s="4"/>
      <c r="F838" s="4"/>
      <c r="G838" s="4"/>
      <c r="H838" s="4"/>
      <c r="I838" s="8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82"/>
      <c r="B839" s="82"/>
      <c r="C839" s="83"/>
      <c r="D839" s="4"/>
      <c r="E839" s="4"/>
      <c r="F839" s="4"/>
      <c r="G839" s="4"/>
      <c r="H839" s="4"/>
      <c r="I839" s="8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82"/>
      <c r="B840" s="82"/>
      <c r="C840" s="83"/>
      <c r="D840" s="4"/>
      <c r="E840" s="4"/>
      <c r="F840" s="4"/>
      <c r="G840" s="4"/>
      <c r="H840" s="4"/>
      <c r="I840" s="8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82"/>
      <c r="B841" s="82"/>
      <c r="C841" s="83"/>
      <c r="D841" s="4"/>
      <c r="E841" s="4"/>
      <c r="F841" s="4"/>
      <c r="G841" s="4"/>
      <c r="H841" s="4"/>
      <c r="I841" s="8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82"/>
      <c r="B842" s="82"/>
      <c r="C842" s="83"/>
      <c r="D842" s="4"/>
      <c r="E842" s="4"/>
      <c r="F842" s="4"/>
      <c r="G842" s="4"/>
      <c r="H842" s="4"/>
      <c r="I842" s="8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82"/>
      <c r="B843" s="82"/>
      <c r="C843" s="83"/>
      <c r="D843" s="4"/>
      <c r="E843" s="4"/>
      <c r="F843" s="4"/>
      <c r="G843" s="4"/>
      <c r="H843" s="4"/>
      <c r="I843" s="8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82"/>
      <c r="B844" s="82"/>
      <c r="C844" s="83"/>
      <c r="D844" s="4"/>
      <c r="E844" s="4"/>
      <c r="F844" s="4"/>
      <c r="G844" s="4"/>
      <c r="H844" s="4"/>
      <c r="I844" s="8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82"/>
      <c r="B845" s="82"/>
      <c r="C845" s="83"/>
      <c r="D845" s="4"/>
      <c r="E845" s="4"/>
      <c r="F845" s="4"/>
      <c r="G845" s="4"/>
      <c r="H845" s="4"/>
      <c r="I845" s="8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82"/>
      <c r="B846" s="82"/>
      <c r="C846" s="83"/>
      <c r="D846" s="4"/>
      <c r="E846" s="4"/>
      <c r="F846" s="4"/>
      <c r="G846" s="4"/>
      <c r="H846" s="4"/>
      <c r="I846" s="8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82"/>
      <c r="B847" s="82"/>
      <c r="C847" s="83"/>
      <c r="D847" s="4"/>
      <c r="E847" s="4"/>
      <c r="F847" s="4"/>
      <c r="G847" s="4"/>
      <c r="H847" s="4"/>
      <c r="I847" s="8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82"/>
      <c r="B848" s="82"/>
      <c r="C848" s="83"/>
      <c r="D848" s="4"/>
      <c r="E848" s="4"/>
      <c r="F848" s="4"/>
      <c r="G848" s="4"/>
      <c r="H848" s="4"/>
      <c r="I848" s="8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82"/>
      <c r="B849" s="82"/>
      <c r="C849" s="83"/>
      <c r="D849" s="4"/>
      <c r="E849" s="4"/>
      <c r="F849" s="4"/>
      <c r="G849" s="4"/>
      <c r="H849" s="4"/>
      <c r="I849" s="8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82"/>
      <c r="B850" s="82"/>
      <c r="C850" s="83"/>
      <c r="D850" s="4"/>
      <c r="E850" s="4"/>
      <c r="F850" s="4"/>
      <c r="G850" s="4"/>
      <c r="H850" s="4"/>
      <c r="I850" s="8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82"/>
      <c r="B851" s="82"/>
      <c r="C851" s="83"/>
      <c r="D851" s="4"/>
      <c r="E851" s="4"/>
      <c r="F851" s="4"/>
      <c r="G851" s="4"/>
      <c r="H851" s="4"/>
      <c r="I851" s="8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82"/>
      <c r="B852" s="82"/>
      <c r="C852" s="83"/>
      <c r="D852" s="4"/>
      <c r="E852" s="4"/>
      <c r="F852" s="4"/>
      <c r="G852" s="4"/>
      <c r="H852" s="4"/>
      <c r="I852" s="8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82"/>
      <c r="B853" s="82"/>
      <c r="C853" s="83"/>
      <c r="D853" s="4"/>
      <c r="E853" s="4"/>
      <c r="F853" s="4"/>
      <c r="G853" s="4"/>
      <c r="H853" s="4"/>
      <c r="I853" s="8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82"/>
      <c r="B854" s="82"/>
      <c r="C854" s="83"/>
      <c r="D854" s="4"/>
      <c r="E854" s="4"/>
      <c r="F854" s="4"/>
      <c r="G854" s="4"/>
      <c r="H854" s="4"/>
      <c r="I854" s="8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82"/>
      <c r="B855" s="82"/>
      <c r="C855" s="83"/>
      <c r="D855" s="4"/>
      <c r="E855" s="4"/>
      <c r="F855" s="4"/>
      <c r="G855" s="4"/>
      <c r="H855" s="4"/>
      <c r="I855" s="8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82"/>
      <c r="B856" s="82"/>
      <c r="C856" s="83"/>
      <c r="D856" s="4"/>
      <c r="E856" s="4"/>
      <c r="F856" s="4"/>
      <c r="G856" s="4"/>
      <c r="H856" s="4"/>
      <c r="I856" s="8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82"/>
      <c r="B857" s="82"/>
      <c r="C857" s="83"/>
      <c r="D857" s="4"/>
      <c r="E857" s="4"/>
      <c r="F857" s="4"/>
      <c r="G857" s="4"/>
      <c r="H857" s="4"/>
      <c r="I857" s="8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82"/>
      <c r="B858" s="82"/>
      <c r="C858" s="83"/>
      <c r="D858" s="4"/>
      <c r="E858" s="4"/>
      <c r="F858" s="4"/>
      <c r="G858" s="4"/>
      <c r="H858" s="4"/>
      <c r="I858" s="8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82"/>
      <c r="B859" s="82"/>
      <c r="C859" s="83"/>
      <c r="D859" s="4"/>
      <c r="E859" s="4"/>
      <c r="F859" s="4"/>
      <c r="G859" s="4"/>
      <c r="H859" s="4"/>
      <c r="I859" s="8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82"/>
      <c r="B860" s="82"/>
      <c r="C860" s="83"/>
      <c r="D860" s="4"/>
      <c r="E860" s="4"/>
      <c r="F860" s="4"/>
      <c r="G860" s="4"/>
      <c r="H860" s="4"/>
      <c r="I860" s="8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82"/>
      <c r="B861" s="82"/>
      <c r="C861" s="83"/>
      <c r="D861" s="4"/>
      <c r="E861" s="4"/>
      <c r="F861" s="4"/>
      <c r="G861" s="4"/>
      <c r="H861" s="4"/>
      <c r="I861" s="8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82"/>
      <c r="B862" s="82"/>
      <c r="C862" s="83"/>
      <c r="D862" s="4"/>
      <c r="E862" s="4"/>
      <c r="F862" s="4"/>
      <c r="G862" s="4"/>
      <c r="H862" s="4"/>
      <c r="I862" s="8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82"/>
      <c r="B863" s="82"/>
      <c r="C863" s="83"/>
      <c r="D863" s="4"/>
      <c r="E863" s="4"/>
      <c r="F863" s="4"/>
      <c r="G863" s="4"/>
      <c r="H863" s="4"/>
      <c r="I863" s="8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82"/>
      <c r="B864" s="82"/>
      <c r="C864" s="83"/>
      <c r="D864" s="4"/>
      <c r="E864" s="4"/>
      <c r="F864" s="4"/>
      <c r="G864" s="4"/>
      <c r="H864" s="4"/>
      <c r="I864" s="8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82"/>
      <c r="B865" s="82"/>
      <c r="C865" s="83"/>
      <c r="D865" s="4"/>
      <c r="E865" s="4"/>
      <c r="F865" s="4"/>
      <c r="G865" s="4"/>
      <c r="H865" s="4"/>
      <c r="I865" s="8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82"/>
      <c r="B866" s="82"/>
      <c r="C866" s="83"/>
      <c r="D866" s="4"/>
      <c r="E866" s="4"/>
      <c r="F866" s="4"/>
      <c r="G866" s="4"/>
      <c r="H866" s="4"/>
      <c r="I866" s="8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82"/>
      <c r="B867" s="82"/>
      <c r="C867" s="83"/>
      <c r="D867" s="4"/>
      <c r="E867" s="4"/>
      <c r="F867" s="4"/>
      <c r="G867" s="4"/>
      <c r="H867" s="4"/>
      <c r="I867" s="8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82"/>
      <c r="B868" s="82"/>
      <c r="C868" s="83"/>
      <c r="D868" s="4"/>
      <c r="E868" s="4"/>
      <c r="F868" s="4"/>
      <c r="G868" s="4"/>
      <c r="H868" s="4"/>
      <c r="I868" s="8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82"/>
      <c r="B869" s="82"/>
      <c r="C869" s="83"/>
      <c r="D869" s="4"/>
      <c r="E869" s="4"/>
      <c r="F869" s="4"/>
      <c r="G869" s="4"/>
      <c r="H869" s="4"/>
      <c r="I869" s="8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82"/>
      <c r="B870" s="82"/>
      <c r="C870" s="83"/>
      <c r="D870" s="4"/>
      <c r="E870" s="4"/>
      <c r="F870" s="4"/>
      <c r="G870" s="4"/>
      <c r="H870" s="4"/>
      <c r="I870" s="8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82"/>
      <c r="B871" s="82"/>
      <c r="C871" s="83"/>
      <c r="D871" s="4"/>
      <c r="E871" s="4"/>
      <c r="F871" s="4"/>
      <c r="G871" s="4"/>
      <c r="H871" s="4"/>
      <c r="I871" s="8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82"/>
      <c r="B872" s="82"/>
      <c r="C872" s="83"/>
      <c r="D872" s="4"/>
      <c r="E872" s="4"/>
      <c r="F872" s="4"/>
      <c r="G872" s="4"/>
      <c r="H872" s="4"/>
      <c r="I872" s="8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82"/>
      <c r="B873" s="82"/>
      <c r="C873" s="83"/>
      <c r="D873" s="4"/>
      <c r="E873" s="4"/>
      <c r="F873" s="4"/>
      <c r="G873" s="4"/>
      <c r="H873" s="4"/>
      <c r="I873" s="8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82"/>
      <c r="B874" s="82"/>
      <c r="C874" s="83"/>
      <c r="D874" s="4"/>
      <c r="E874" s="4"/>
      <c r="F874" s="4"/>
      <c r="G874" s="4"/>
      <c r="H874" s="4"/>
      <c r="I874" s="8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82"/>
      <c r="B875" s="82"/>
      <c r="C875" s="83"/>
      <c r="D875" s="4"/>
      <c r="E875" s="4"/>
      <c r="F875" s="4"/>
      <c r="G875" s="4"/>
      <c r="H875" s="4"/>
      <c r="I875" s="8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82"/>
      <c r="B876" s="82"/>
      <c r="C876" s="83"/>
      <c r="D876" s="4"/>
      <c r="E876" s="4"/>
      <c r="F876" s="4"/>
      <c r="G876" s="4"/>
      <c r="H876" s="4"/>
      <c r="I876" s="8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82"/>
      <c r="B877" s="82"/>
      <c r="C877" s="83"/>
      <c r="D877" s="4"/>
      <c r="E877" s="4"/>
      <c r="F877" s="4"/>
      <c r="G877" s="4"/>
      <c r="H877" s="4"/>
      <c r="I877" s="8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82"/>
      <c r="B878" s="82"/>
      <c r="C878" s="83"/>
      <c r="D878" s="4"/>
      <c r="E878" s="4"/>
      <c r="F878" s="4"/>
      <c r="G878" s="4"/>
      <c r="H878" s="4"/>
      <c r="I878" s="8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82"/>
      <c r="B879" s="82"/>
      <c r="C879" s="83"/>
      <c r="D879" s="4"/>
      <c r="E879" s="4"/>
      <c r="F879" s="4"/>
      <c r="G879" s="4"/>
      <c r="H879" s="4"/>
      <c r="I879" s="8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82"/>
      <c r="B880" s="82"/>
      <c r="C880" s="83"/>
      <c r="D880" s="4"/>
      <c r="E880" s="4"/>
      <c r="F880" s="4"/>
      <c r="G880" s="4"/>
      <c r="H880" s="4"/>
      <c r="I880" s="8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82"/>
      <c r="B881" s="82"/>
      <c r="C881" s="83"/>
      <c r="D881" s="4"/>
      <c r="E881" s="4"/>
      <c r="F881" s="4"/>
      <c r="G881" s="4"/>
      <c r="H881" s="4"/>
      <c r="I881" s="8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82"/>
      <c r="B882" s="82"/>
      <c r="C882" s="83"/>
      <c r="D882" s="4"/>
      <c r="E882" s="4"/>
      <c r="F882" s="4"/>
      <c r="G882" s="4"/>
      <c r="H882" s="4"/>
      <c r="I882" s="8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82"/>
      <c r="B883" s="82"/>
      <c r="C883" s="83"/>
      <c r="D883" s="4"/>
      <c r="E883" s="4"/>
      <c r="F883" s="4"/>
      <c r="G883" s="4"/>
      <c r="H883" s="4"/>
      <c r="I883" s="8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82"/>
      <c r="B884" s="82"/>
      <c r="C884" s="83"/>
      <c r="D884" s="4"/>
      <c r="E884" s="4"/>
      <c r="F884" s="4"/>
      <c r="G884" s="4"/>
      <c r="H884" s="4"/>
      <c r="I884" s="8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82"/>
      <c r="B885" s="82"/>
      <c r="C885" s="83"/>
      <c r="D885" s="4"/>
      <c r="E885" s="4"/>
      <c r="F885" s="4"/>
      <c r="G885" s="4"/>
      <c r="H885" s="4"/>
      <c r="I885" s="8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82"/>
      <c r="B886" s="82"/>
      <c r="C886" s="83"/>
      <c r="D886" s="4"/>
      <c r="E886" s="4"/>
      <c r="F886" s="4"/>
      <c r="G886" s="4"/>
      <c r="H886" s="4"/>
      <c r="I886" s="8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82"/>
      <c r="B887" s="82"/>
      <c r="C887" s="83"/>
      <c r="D887" s="4"/>
      <c r="E887" s="4"/>
      <c r="F887" s="4"/>
      <c r="G887" s="4"/>
      <c r="H887" s="4"/>
      <c r="I887" s="8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82"/>
      <c r="B888" s="82"/>
      <c r="C888" s="83"/>
      <c r="D888" s="4"/>
      <c r="E888" s="4"/>
      <c r="F888" s="4"/>
      <c r="G888" s="4"/>
      <c r="H888" s="4"/>
      <c r="I888" s="8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82"/>
      <c r="B889" s="82"/>
      <c r="C889" s="83"/>
      <c r="D889" s="4"/>
      <c r="E889" s="4"/>
      <c r="F889" s="4"/>
      <c r="G889" s="4"/>
      <c r="H889" s="4"/>
      <c r="I889" s="8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82"/>
      <c r="B890" s="82"/>
      <c r="C890" s="83"/>
      <c r="D890" s="4"/>
      <c r="E890" s="4"/>
      <c r="F890" s="4"/>
      <c r="G890" s="4"/>
      <c r="H890" s="4"/>
      <c r="I890" s="8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82"/>
      <c r="B891" s="82"/>
      <c r="C891" s="83"/>
      <c r="D891" s="4"/>
      <c r="E891" s="4"/>
      <c r="F891" s="4"/>
      <c r="G891" s="4"/>
      <c r="H891" s="4"/>
      <c r="I891" s="8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82"/>
      <c r="B892" s="82"/>
      <c r="C892" s="83"/>
      <c r="D892" s="4"/>
      <c r="E892" s="4"/>
      <c r="F892" s="4"/>
      <c r="G892" s="4"/>
      <c r="H892" s="4"/>
      <c r="I892" s="8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82"/>
      <c r="B893" s="82"/>
      <c r="C893" s="83"/>
      <c r="D893" s="4"/>
      <c r="E893" s="4"/>
      <c r="F893" s="4"/>
      <c r="G893" s="4"/>
      <c r="H893" s="4"/>
      <c r="I893" s="8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82"/>
      <c r="B894" s="82"/>
      <c r="C894" s="83"/>
      <c r="D894" s="4"/>
      <c r="E894" s="4"/>
      <c r="F894" s="4"/>
      <c r="G894" s="4"/>
      <c r="H894" s="4"/>
      <c r="I894" s="8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82"/>
      <c r="B895" s="82"/>
      <c r="C895" s="83"/>
      <c r="D895" s="4"/>
      <c r="E895" s="4"/>
      <c r="F895" s="4"/>
      <c r="G895" s="4"/>
      <c r="H895" s="4"/>
      <c r="I895" s="8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82"/>
      <c r="B896" s="82"/>
      <c r="C896" s="83"/>
      <c r="D896" s="4"/>
      <c r="E896" s="4"/>
      <c r="F896" s="4"/>
      <c r="G896" s="4"/>
      <c r="H896" s="4"/>
      <c r="I896" s="8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82"/>
      <c r="B897" s="82"/>
      <c r="C897" s="83"/>
      <c r="D897" s="4"/>
      <c r="E897" s="4"/>
      <c r="F897" s="4"/>
      <c r="G897" s="4"/>
      <c r="H897" s="4"/>
      <c r="I897" s="8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82"/>
      <c r="B898" s="82"/>
      <c r="C898" s="83"/>
      <c r="D898" s="4"/>
      <c r="E898" s="4"/>
      <c r="F898" s="4"/>
      <c r="G898" s="4"/>
      <c r="H898" s="4"/>
      <c r="I898" s="8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82"/>
      <c r="B899" s="82"/>
      <c r="C899" s="83"/>
      <c r="D899" s="4"/>
      <c r="E899" s="4"/>
      <c r="F899" s="4"/>
      <c r="G899" s="4"/>
      <c r="H899" s="4"/>
      <c r="I899" s="8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82"/>
      <c r="B900" s="82"/>
      <c r="C900" s="83"/>
      <c r="D900" s="4"/>
      <c r="E900" s="4"/>
      <c r="F900" s="4"/>
      <c r="G900" s="4"/>
      <c r="H900" s="4"/>
      <c r="I900" s="8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82"/>
      <c r="B901" s="82"/>
      <c r="C901" s="83"/>
      <c r="D901" s="4"/>
      <c r="E901" s="4"/>
      <c r="F901" s="4"/>
      <c r="G901" s="4"/>
      <c r="H901" s="4"/>
      <c r="I901" s="8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82"/>
      <c r="B902" s="82"/>
      <c r="C902" s="83"/>
      <c r="D902" s="4"/>
      <c r="E902" s="4"/>
      <c r="F902" s="4"/>
      <c r="G902" s="4"/>
      <c r="H902" s="4"/>
      <c r="I902" s="8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82"/>
      <c r="B903" s="82"/>
      <c r="C903" s="83"/>
      <c r="D903" s="4"/>
      <c r="E903" s="4"/>
      <c r="F903" s="4"/>
      <c r="G903" s="4"/>
      <c r="H903" s="4"/>
      <c r="I903" s="8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82"/>
      <c r="B904" s="82"/>
      <c r="C904" s="83"/>
      <c r="D904" s="4"/>
      <c r="E904" s="4"/>
      <c r="F904" s="4"/>
      <c r="G904" s="4"/>
      <c r="H904" s="4"/>
      <c r="I904" s="8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82"/>
      <c r="B905" s="82"/>
      <c r="C905" s="83"/>
      <c r="D905" s="4"/>
      <c r="E905" s="4"/>
      <c r="F905" s="4"/>
      <c r="G905" s="4"/>
      <c r="H905" s="4"/>
      <c r="I905" s="8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82"/>
      <c r="B906" s="82"/>
      <c r="C906" s="83"/>
      <c r="D906" s="4"/>
      <c r="E906" s="4"/>
      <c r="F906" s="4"/>
      <c r="G906" s="4"/>
      <c r="H906" s="4"/>
      <c r="I906" s="8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82"/>
      <c r="B907" s="82"/>
      <c r="C907" s="83"/>
      <c r="D907" s="4"/>
      <c r="E907" s="4"/>
      <c r="F907" s="4"/>
      <c r="G907" s="4"/>
      <c r="H907" s="4"/>
      <c r="I907" s="8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82"/>
      <c r="B908" s="82"/>
      <c r="C908" s="83"/>
      <c r="D908" s="4"/>
      <c r="E908" s="4"/>
      <c r="F908" s="4"/>
      <c r="G908" s="4"/>
      <c r="H908" s="4"/>
      <c r="I908" s="8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82"/>
      <c r="B909" s="82"/>
      <c r="C909" s="83"/>
      <c r="D909" s="4"/>
      <c r="E909" s="4"/>
      <c r="F909" s="4"/>
      <c r="G909" s="4"/>
      <c r="H909" s="4"/>
      <c r="I909" s="8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82"/>
      <c r="B910" s="82"/>
      <c r="C910" s="83"/>
      <c r="D910" s="4"/>
      <c r="E910" s="4"/>
      <c r="F910" s="4"/>
      <c r="G910" s="4"/>
      <c r="H910" s="4"/>
      <c r="I910" s="8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82"/>
      <c r="B911" s="82"/>
      <c r="C911" s="83"/>
      <c r="D911" s="4"/>
      <c r="E911" s="4"/>
      <c r="F911" s="4"/>
      <c r="G911" s="4"/>
      <c r="H911" s="4"/>
      <c r="I911" s="8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82"/>
      <c r="B912" s="82"/>
      <c r="C912" s="83"/>
      <c r="D912" s="4"/>
      <c r="E912" s="4"/>
      <c r="F912" s="4"/>
      <c r="G912" s="4"/>
      <c r="H912" s="4"/>
      <c r="I912" s="8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82"/>
      <c r="B913" s="82"/>
      <c r="C913" s="83"/>
      <c r="D913" s="4"/>
      <c r="E913" s="4"/>
      <c r="F913" s="4"/>
      <c r="G913" s="4"/>
      <c r="H913" s="4"/>
      <c r="I913" s="8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82"/>
      <c r="B914" s="82"/>
      <c r="C914" s="83"/>
      <c r="D914" s="4"/>
      <c r="E914" s="4"/>
      <c r="F914" s="4"/>
      <c r="G914" s="4"/>
      <c r="H914" s="4"/>
      <c r="I914" s="8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82"/>
      <c r="B915" s="82"/>
      <c r="C915" s="83"/>
      <c r="D915" s="4"/>
      <c r="E915" s="4"/>
      <c r="F915" s="4"/>
      <c r="G915" s="4"/>
      <c r="H915" s="4"/>
      <c r="I915" s="8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82"/>
      <c r="B916" s="82"/>
      <c r="C916" s="83"/>
      <c r="D916" s="4"/>
      <c r="E916" s="4"/>
      <c r="F916" s="4"/>
      <c r="G916" s="4"/>
      <c r="H916" s="4"/>
      <c r="I916" s="8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82"/>
      <c r="B917" s="82"/>
      <c r="C917" s="83"/>
      <c r="D917" s="4"/>
      <c r="E917" s="4"/>
      <c r="F917" s="4"/>
      <c r="G917" s="4"/>
      <c r="H917" s="4"/>
      <c r="I917" s="8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82"/>
      <c r="B918" s="82"/>
      <c r="C918" s="83"/>
      <c r="D918" s="4"/>
      <c r="E918" s="4"/>
      <c r="F918" s="4"/>
      <c r="G918" s="4"/>
      <c r="H918" s="4"/>
      <c r="I918" s="8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82"/>
      <c r="B919" s="82"/>
      <c r="C919" s="83"/>
      <c r="D919" s="4"/>
      <c r="E919" s="4"/>
      <c r="F919" s="4"/>
      <c r="G919" s="4"/>
      <c r="H919" s="4"/>
      <c r="I919" s="8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82"/>
      <c r="B920" s="82"/>
      <c r="C920" s="83"/>
      <c r="D920" s="4"/>
      <c r="E920" s="4"/>
      <c r="F920" s="4"/>
      <c r="G920" s="4"/>
      <c r="H920" s="4"/>
      <c r="I920" s="8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82"/>
      <c r="B921" s="82"/>
      <c r="C921" s="83"/>
      <c r="D921" s="4"/>
      <c r="E921" s="4"/>
      <c r="F921" s="4"/>
      <c r="G921" s="4"/>
      <c r="H921" s="4"/>
      <c r="I921" s="8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82"/>
      <c r="B922" s="82"/>
      <c r="C922" s="83"/>
      <c r="D922" s="4"/>
      <c r="E922" s="4"/>
      <c r="F922" s="4"/>
      <c r="G922" s="4"/>
      <c r="H922" s="4"/>
      <c r="I922" s="8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82"/>
      <c r="B923" s="82"/>
      <c r="C923" s="83"/>
      <c r="D923" s="4"/>
      <c r="E923" s="4"/>
      <c r="F923" s="4"/>
      <c r="G923" s="4"/>
      <c r="H923" s="4"/>
      <c r="I923" s="8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82"/>
      <c r="B924" s="82"/>
      <c r="C924" s="83"/>
      <c r="D924" s="4"/>
      <c r="E924" s="4"/>
      <c r="F924" s="4"/>
      <c r="G924" s="4"/>
      <c r="H924" s="4"/>
      <c r="I924" s="8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82"/>
      <c r="B925" s="82"/>
      <c r="C925" s="83"/>
      <c r="D925" s="4"/>
      <c r="E925" s="4"/>
      <c r="F925" s="4"/>
      <c r="G925" s="4"/>
      <c r="H925" s="4"/>
      <c r="I925" s="8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82"/>
      <c r="B926" s="82"/>
      <c r="C926" s="83"/>
      <c r="D926" s="4"/>
      <c r="E926" s="4"/>
      <c r="F926" s="4"/>
      <c r="G926" s="4"/>
      <c r="H926" s="4"/>
      <c r="I926" s="8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82"/>
      <c r="B927" s="82"/>
      <c r="C927" s="83"/>
      <c r="D927" s="4"/>
      <c r="E927" s="4"/>
      <c r="F927" s="4"/>
      <c r="G927" s="4"/>
      <c r="H927" s="4"/>
      <c r="I927" s="8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82"/>
      <c r="B928" s="82"/>
      <c r="C928" s="83"/>
      <c r="D928" s="4"/>
      <c r="E928" s="4"/>
      <c r="F928" s="4"/>
      <c r="G928" s="4"/>
      <c r="H928" s="4"/>
      <c r="I928" s="8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82"/>
      <c r="B929" s="82"/>
      <c r="C929" s="83"/>
      <c r="D929" s="4"/>
      <c r="E929" s="4"/>
      <c r="F929" s="4"/>
      <c r="G929" s="4"/>
      <c r="H929" s="4"/>
      <c r="I929" s="8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82"/>
      <c r="B930" s="82"/>
      <c r="C930" s="83"/>
      <c r="D930" s="4"/>
      <c r="E930" s="4"/>
      <c r="F930" s="4"/>
      <c r="G930" s="4"/>
      <c r="H930" s="4"/>
      <c r="I930" s="8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82"/>
      <c r="B931" s="82"/>
      <c r="C931" s="83"/>
      <c r="D931" s="4"/>
      <c r="E931" s="4"/>
      <c r="F931" s="4"/>
      <c r="G931" s="4"/>
      <c r="H931" s="4"/>
      <c r="I931" s="8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82"/>
      <c r="B932" s="82"/>
      <c r="C932" s="83"/>
      <c r="D932" s="4"/>
      <c r="E932" s="4"/>
      <c r="F932" s="4"/>
      <c r="G932" s="4"/>
      <c r="H932" s="4"/>
      <c r="I932" s="8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82"/>
      <c r="B933" s="82"/>
      <c r="C933" s="83"/>
      <c r="D933" s="4"/>
      <c r="E933" s="4"/>
      <c r="F933" s="4"/>
      <c r="G933" s="4"/>
      <c r="H933" s="4"/>
      <c r="I933" s="8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82"/>
      <c r="B934" s="82"/>
      <c r="C934" s="83"/>
      <c r="D934" s="4"/>
      <c r="E934" s="4"/>
      <c r="F934" s="4"/>
      <c r="G934" s="4"/>
      <c r="H934" s="4"/>
      <c r="I934" s="8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82"/>
      <c r="B935" s="82"/>
      <c r="C935" s="83"/>
      <c r="D935" s="4"/>
      <c r="E935" s="4"/>
      <c r="F935" s="4"/>
      <c r="G935" s="4"/>
      <c r="H935" s="4"/>
      <c r="I935" s="8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82"/>
      <c r="B936" s="82"/>
      <c r="C936" s="83"/>
      <c r="D936" s="4"/>
      <c r="E936" s="4"/>
      <c r="F936" s="4"/>
      <c r="G936" s="4"/>
      <c r="H936" s="4"/>
      <c r="I936" s="8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82"/>
      <c r="B937" s="82"/>
      <c r="C937" s="83"/>
      <c r="D937" s="4"/>
      <c r="E937" s="4"/>
      <c r="F937" s="4"/>
      <c r="G937" s="4"/>
      <c r="H937" s="4"/>
      <c r="I937" s="8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82"/>
      <c r="B938" s="82"/>
      <c r="C938" s="83"/>
      <c r="D938" s="4"/>
      <c r="E938" s="4"/>
      <c r="F938" s="4"/>
      <c r="G938" s="4"/>
      <c r="H938" s="4"/>
      <c r="I938" s="8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82"/>
      <c r="B939" s="82"/>
      <c r="C939" s="83"/>
      <c r="D939" s="4"/>
      <c r="E939" s="4"/>
      <c r="F939" s="4"/>
      <c r="G939" s="4"/>
      <c r="H939" s="4"/>
      <c r="I939" s="8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82"/>
      <c r="B940" s="82"/>
      <c r="C940" s="83"/>
      <c r="D940" s="4"/>
      <c r="E940" s="4"/>
      <c r="F940" s="4"/>
      <c r="G940" s="4"/>
      <c r="H940" s="4"/>
      <c r="I940" s="8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82"/>
      <c r="B941" s="82"/>
      <c r="C941" s="83"/>
      <c r="D941" s="4"/>
      <c r="E941" s="4"/>
      <c r="F941" s="4"/>
      <c r="G941" s="4"/>
      <c r="H941" s="4"/>
      <c r="I941" s="8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82"/>
      <c r="B942" s="82"/>
      <c r="C942" s="83"/>
      <c r="D942" s="4"/>
      <c r="E942" s="4"/>
      <c r="F942" s="4"/>
      <c r="G942" s="4"/>
      <c r="H942" s="4"/>
      <c r="I942" s="8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82"/>
      <c r="B943" s="82"/>
      <c r="C943" s="83"/>
      <c r="D943" s="4"/>
      <c r="E943" s="4"/>
      <c r="F943" s="4"/>
      <c r="G943" s="4"/>
      <c r="H943" s="4"/>
      <c r="I943" s="8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82"/>
      <c r="B944" s="82"/>
      <c r="C944" s="83"/>
      <c r="D944" s="4"/>
      <c r="E944" s="4"/>
      <c r="F944" s="4"/>
      <c r="G944" s="4"/>
      <c r="H944" s="4"/>
      <c r="I944" s="8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82"/>
      <c r="B945" s="82"/>
      <c r="C945" s="83"/>
      <c r="D945" s="4"/>
      <c r="E945" s="4"/>
      <c r="F945" s="4"/>
      <c r="G945" s="4"/>
      <c r="H945" s="4"/>
      <c r="I945" s="8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82"/>
      <c r="B946" s="82"/>
      <c r="C946" s="83"/>
      <c r="D946" s="4"/>
      <c r="E946" s="4"/>
      <c r="F946" s="4"/>
      <c r="G946" s="4"/>
      <c r="H946" s="4"/>
      <c r="I946" s="8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82"/>
      <c r="B947" s="82"/>
      <c r="C947" s="83"/>
      <c r="D947" s="4"/>
      <c r="E947" s="4"/>
      <c r="F947" s="4"/>
      <c r="G947" s="4"/>
      <c r="H947" s="4"/>
      <c r="I947" s="8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82"/>
      <c r="B948" s="82"/>
      <c r="C948" s="83"/>
      <c r="D948" s="4"/>
      <c r="E948" s="4"/>
      <c r="F948" s="4"/>
      <c r="G948" s="4"/>
      <c r="H948" s="4"/>
      <c r="I948" s="8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82"/>
      <c r="B949" s="82"/>
      <c r="C949" s="83"/>
      <c r="D949" s="4"/>
      <c r="E949" s="4"/>
      <c r="F949" s="4"/>
      <c r="G949" s="4"/>
      <c r="H949" s="4"/>
      <c r="I949" s="8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82"/>
      <c r="B950" s="82"/>
      <c r="C950" s="83"/>
      <c r="D950" s="4"/>
      <c r="E950" s="4"/>
      <c r="F950" s="4"/>
      <c r="G950" s="4"/>
      <c r="H950" s="4"/>
      <c r="I950" s="8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82"/>
      <c r="B951" s="82"/>
      <c r="C951" s="83"/>
      <c r="D951" s="4"/>
      <c r="E951" s="4"/>
      <c r="F951" s="4"/>
      <c r="G951" s="4"/>
      <c r="H951" s="4"/>
      <c r="I951" s="8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82"/>
      <c r="B952" s="82"/>
      <c r="C952" s="83"/>
      <c r="D952" s="4"/>
      <c r="E952" s="4"/>
      <c r="F952" s="4"/>
      <c r="G952" s="4"/>
      <c r="H952" s="4"/>
      <c r="I952" s="8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82"/>
      <c r="B953" s="82"/>
      <c r="C953" s="83"/>
      <c r="D953" s="4"/>
      <c r="E953" s="4"/>
      <c r="F953" s="4"/>
      <c r="G953" s="4"/>
      <c r="H953" s="4"/>
      <c r="I953" s="8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82"/>
      <c r="B954" s="82"/>
      <c r="C954" s="83"/>
      <c r="D954" s="4"/>
      <c r="E954" s="4"/>
      <c r="F954" s="4"/>
      <c r="G954" s="4"/>
      <c r="H954" s="4"/>
      <c r="I954" s="8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82"/>
      <c r="B955" s="82"/>
      <c r="C955" s="83"/>
      <c r="D955" s="4"/>
      <c r="E955" s="4"/>
      <c r="F955" s="4"/>
      <c r="G955" s="4"/>
      <c r="H955" s="4"/>
      <c r="I955" s="8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82"/>
      <c r="B956" s="82"/>
      <c r="C956" s="83"/>
      <c r="D956" s="4"/>
      <c r="E956" s="4"/>
      <c r="F956" s="4"/>
      <c r="G956" s="4"/>
      <c r="H956" s="4"/>
      <c r="I956" s="8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82"/>
      <c r="B957" s="82"/>
      <c r="C957" s="83"/>
      <c r="D957" s="4"/>
      <c r="E957" s="4"/>
      <c r="F957" s="4"/>
      <c r="G957" s="4"/>
      <c r="H957" s="4"/>
      <c r="I957" s="8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82"/>
      <c r="B958" s="82"/>
      <c r="C958" s="83"/>
      <c r="D958" s="4"/>
      <c r="E958" s="4"/>
      <c r="F958" s="4"/>
      <c r="G958" s="4"/>
      <c r="H958" s="4"/>
      <c r="I958" s="8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82"/>
      <c r="B959" s="82"/>
      <c r="C959" s="83"/>
      <c r="D959" s="4"/>
      <c r="E959" s="4"/>
      <c r="F959" s="4"/>
      <c r="G959" s="4"/>
      <c r="H959" s="4"/>
      <c r="I959" s="8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82"/>
      <c r="B960" s="82"/>
      <c r="C960" s="83"/>
      <c r="D960" s="4"/>
      <c r="E960" s="4"/>
      <c r="F960" s="4"/>
      <c r="G960" s="4"/>
      <c r="H960" s="4"/>
      <c r="I960" s="8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82"/>
      <c r="B961" s="82"/>
      <c r="C961" s="83"/>
      <c r="D961" s="4"/>
      <c r="E961" s="4"/>
      <c r="F961" s="4"/>
      <c r="G961" s="4"/>
      <c r="H961" s="4"/>
      <c r="I961" s="8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82"/>
      <c r="B962" s="82"/>
      <c r="C962" s="83"/>
      <c r="D962" s="4"/>
      <c r="E962" s="4"/>
      <c r="F962" s="4"/>
      <c r="G962" s="4"/>
      <c r="H962" s="4"/>
      <c r="I962" s="8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82"/>
      <c r="B963" s="82"/>
      <c r="C963" s="83"/>
      <c r="D963" s="4"/>
      <c r="E963" s="4"/>
      <c r="F963" s="4"/>
      <c r="G963" s="4"/>
      <c r="H963" s="4"/>
      <c r="I963" s="8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82"/>
      <c r="B964" s="82"/>
      <c r="C964" s="83"/>
      <c r="D964" s="4"/>
      <c r="E964" s="4"/>
      <c r="F964" s="4"/>
      <c r="G964" s="4"/>
      <c r="H964" s="4"/>
      <c r="I964" s="8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82"/>
      <c r="B965" s="82"/>
      <c r="C965" s="83"/>
      <c r="D965" s="4"/>
      <c r="E965" s="4"/>
      <c r="F965" s="4"/>
      <c r="G965" s="4"/>
      <c r="H965" s="4"/>
      <c r="I965" s="8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82"/>
      <c r="B966" s="82"/>
      <c r="C966" s="83"/>
      <c r="D966" s="4"/>
      <c r="E966" s="4"/>
      <c r="F966" s="4"/>
      <c r="G966" s="4"/>
      <c r="H966" s="4"/>
      <c r="I966" s="8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82"/>
      <c r="B967" s="82"/>
      <c r="C967" s="83"/>
      <c r="D967" s="4"/>
      <c r="E967" s="4"/>
      <c r="F967" s="4"/>
      <c r="G967" s="4"/>
      <c r="H967" s="4"/>
      <c r="I967" s="8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82"/>
      <c r="B968" s="82"/>
      <c r="C968" s="83"/>
      <c r="D968" s="4"/>
      <c r="E968" s="4"/>
      <c r="F968" s="4"/>
      <c r="G968" s="4"/>
      <c r="H968" s="4"/>
      <c r="I968" s="8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82"/>
      <c r="B969" s="82"/>
      <c r="C969" s="83"/>
      <c r="D969" s="4"/>
      <c r="E969" s="4"/>
      <c r="F969" s="4"/>
      <c r="G969" s="4"/>
      <c r="H969" s="4"/>
      <c r="I969" s="8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82"/>
      <c r="B970" s="82"/>
      <c r="C970" s="83"/>
      <c r="D970" s="4"/>
      <c r="E970" s="4"/>
      <c r="F970" s="4"/>
      <c r="G970" s="4"/>
      <c r="H970" s="4"/>
      <c r="I970" s="8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82"/>
      <c r="B971" s="82"/>
      <c r="C971" s="83"/>
      <c r="D971" s="4"/>
      <c r="E971" s="4"/>
      <c r="F971" s="4"/>
      <c r="G971" s="4"/>
      <c r="H971" s="4"/>
      <c r="I971" s="8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82"/>
      <c r="B972" s="82"/>
      <c r="C972" s="83"/>
      <c r="D972" s="4"/>
      <c r="E972" s="4"/>
      <c r="F972" s="4"/>
      <c r="G972" s="4"/>
      <c r="H972" s="4"/>
      <c r="I972" s="8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82"/>
      <c r="B973" s="82"/>
      <c r="C973" s="83"/>
      <c r="D973" s="4"/>
      <c r="E973" s="4"/>
      <c r="F973" s="4"/>
      <c r="G973" s="4"/>
      <c r="H973" s="4"/>
      <c r="I973" s="8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82"/>
      <c r="B974" s="82"/>
      <c r="C974" s="83"/>
      <c r="D974" s="4"/>
      <c r="E974" s="4"/>
      <c r="F974" s="4"/>
      <c r="G974" s="4"/>
      <c r="H974" s="4"/>
      <c r="I974" s="8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82"/>
      <c r="B975" s="82"/>
      <c r="C975" s="83"/>
      <c r="D975" s="4"/>
      <c r="E975" s="4"/>
      <c r="F975" s="4"/>
      <c r="G975" s="4"/>
      <c r="H975" s="4"/>
      <c r="I975" s="8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82"/>
      <c r="B976" s="82"/>
      <c r="C976" s="83"/>
      <c r="D976" s="4"/>
      <c r="E976" s="4"/>
      <c r="F976" s="4"/>
      <c r="G976" s="4"/>
      <c r="H976" s="4"/>
      <c r="I976" s="8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82"/>
      <c r="B977" s="82"/>
      <c r="C977" s="83"/>
      <c r="D977" s="4"/>
      <c r="E977" s="4"/>
      <c r="F977" s="4"/>
      <c r="G977" s="4"/>
      <c r="H977" s="4"/>
      <c r="I977" s="8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82"/>
      <c r="B978" s="82"/>
      <c r="C978" s="83"/>
      <c r="D978" s="4"/>
      <c r="E978" s="4"/>
      <c r="F978" s="4"/>
      <c r="G978" s="4"/>
      <c r="H978" s="4"/>
      <c r="I978" s="8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82"/>
      <c r="B979" s="82"/>
      <c r="C979" s="83"/>
      <c r="D979" s="4"/>
      <c r="E979" s="4"/>
      <c r="F979" s="4"/>
      <c r="G979" s="4"/>
      <c r="H979" s="4"/>
      <c r="I979" s="8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82"/>
      <c r="B980" s="82"/>
      <c r="C980" s="83"/>
      <c r="D980" s="4"/>
      <c r="E980" s="4"/>
      <c r="F980" s="4"/>
      <c r="G980" s="4"/>
      <c r="H980" s="4"/>
      <c r="I980" s="8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82"/>
      <c r="B981" s="82"/>
      <c r="C981" s="83"/>
      <c r="D981" s="4"/>
      <c r="E981" s="4"/>
      <c r="F981" s="4"/>
      <c r="G981" s="4"/>
      <c r="H981" s="4"/>
      <c r="I981" s="8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82"/>
      <c r="B982" s="82"/>
      <c r="C982" s="83"/>
      <c r="D982" s="4"/>
      <c r="E982" s="4"/>
      <c r="F982" s="4"/>
      <c r="G982" s="4"/>
      <c r="H982" s="4"/>
      <c r="I982" s="8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82"/>
      <c r="B983" s="82"/>
      <c r="C983" s="83"/>
      <c r="D983" s="4"/>
      <c r="E983" s="4"/>
      <c r="F983" s="4"/>
      <c r="G983" s="4"/>
      <c r="H983" s="4"/>
      <c r="I983" s="8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82"/>
      <c r="B984" s="82"/>
      <c r="C984" s="83"/>
      <c r="D984" s="4"/>
      <c r="E984" s="4"/>
      <c r="F984" s="4"/>
      <c r="G984" s="4"/>
      <c r="H984" s="4"/>
      <c r="I984" s="8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82"/>
      <c r="B985" s="82"/>
      <c r="C985" s="83"/>
      <c r="D985" s="4"/>
      <c r="E985" s="4"/>
      <c r="F985" s="4"/>
      <c r="G985" s="4"/>
      <c r="H985" s="4"/>
      <c r="I985" s="8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82"/>
      <c r="B986" s="82"/>
      <c r="C986" s="83"/>
      <c r="D986" s="4"/>
      <c r="E986" s="4"/>
      <c r="F986" s="4"/>
      <c r="G986" s="4"/>
      <c r="H986" s="4"/>
      <c r="I986" s="8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82"/>
      <c r="B987" s="82"/>
      <c r="C987" s="83"/>
      <c r="D987" s="4"/>
      <c r="E987" s="4"/>
      <c r="F987" s="4"/>
      <c r="G987" s="4"/>
      <c r="H987" s="4"/>
      <c r="I987" s="8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82"/>
      <c r="B988" s="82"/>
      <c r="C988" s="83"/>
      <c r="D988" s="4"/>
      <c r="E988" s="4"/>
      <c r="F988" s="4"/>
      <c r="G988" s="4"/>
      <c r="H988" s="4"/>
      <c r="I988" s="8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82"/>
      <c r="B989" s="82"/>
      <c r="C989" s="83"/>
      <c r="D989" s="4"/>
      <c r="E989" s="4"/>
      <c r="F989" s="4"/>
      <c r="G989" s="4"/>
      <c r="H989" s="4"/>
      <c r="I989" s="8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82"/>
      <c r="B990" s="82"/>
      <c r="C990" s="83"/>
      <c r="D990" s="4"/>
      <c r="E990" s="4"/>
      <c r="F990" s="4"/>
      <c r="G990" s="4"/>
      <c r="H990" s="4"/>
      <c r="I990" s="8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82"/>
      <c r="B991" s="82"/>
      <c r="C991" s="83"/>
      <c r="D991" s="4"/>
      <c r="E991" s="4"/>
      <c r="F991" s="4"/>
      <c r="G991" s="4"/>
      <c r="H991" s="4"/>
      <c r="I991" s="8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82"/>
      <c r="B992" s="82"/>
      <c r="C992" s="83"/>
      <c r="D992" s="4"/>
      <c r="E992" s="4"/>
      <c r="F992" s="4"/>
      <c r="G992" s="4"/>
      <c r="H992" s="4"/>
      <c r="I992" s="8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82"/>
      <c r="B993" s="82"/>
      <c r="C993" s="83"/>
      <c r="D993" s="4"/>
      <c r="E993" s="4"/>
      <c r="F993" s="4"/>
      <c r="G993" s="4"/>
      <c r="H993" s="4"/>
      <c r="I993" s="8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82"/>
      <c r="B994" s="82"/>
      <c r="C994" s="83"/>
      <c r="D994" s="4"/>
      <c r="E994" s="4"/>
      <c r="F994" s="4"/>
      <c r="G994" s="4"/>
      <c r="H994" s="4"/>
      <c r="I994" s="8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82"/>
      <c r="B995" s="82"/>
      <c r="C995" s="83"/>
      <c r="D995" s="4"/>
      <c r="E995" s="4"/>
      <c r="F995" s="4"/>
      <c r="G995" s="4"/>
      <c r="H995" s="4"/>
      <c r="I995" s="8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82"/>
      <c r="B996" s="82"/>
      <c r="C996" s="83"/>
      <c r="D996" s="4"/>
      <c r="E996" s="4"/>
      <c r="F996" s="4"/>
      <c r="G996" s="4"/>
      <c r="H996" s="4"/>
      <c r="I996" s="8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82"/>
      <c r="B997" s="82"/>
      <c r="C997" s="83"/>
      <c r="D997" s="4"/>
      <c r="E997" s="4"/>
      <c r="F997" s="4"/>
      <c r="G997" s="4"/>
      <c r="H997" s="4"/>
      <c r="I997" s="8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82"/>
      <c r="B998" s="82"/>
      <c r="C998" s="83"/>
      <c r="D998" s="4"/>
      <c r="E998" s="4"/>
      <c r="F998" s="4"/>
      <c r="G998" s="4"/>
      <c r="H998" s="4"/>
      <c r="I998" s="8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82"/>
      <c r="B999" s="82"/>
      <c r="C999" s="83"/>
      <c r="D999" s="4"/>
      <c r="E999" s="4"/>
      <c r="F999" s="4"/>
      <c r="G999" s="4"/>
      <c r="H999" s="4"/>
      <c r="I999" s="8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82"/>
      <c r="B1000" s="82"/>
      <c r="C1000" s="83"/>
      <c r="D1000" s="4"/>
      <c r="E1000" s="4"/>
      <c r="F1000" s="4"/>
      <c r="G1000" s="4"/>
      <c r="H1000" s="4"/>
      <c r="I1000" s="8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82"/>
      <c r="B1001" s="82"/>
      <c r="C1001" s="83"/>
      <c r="D1001" s="4"/>
      <c r="E1001" s="4"/>
      <c r="F1001" s="4"/>
      <c r="G1001" s="4"/>
      <c r="H1001" s="4"/>
      <c r="I1001" s="8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82"/>
      <c r="B1002" s="82"/>
      <c r="C1002" s="83"/>
      <c r="D1002" s="4"/>
      <c r="E1002" s="4"/>
      <c r="F1002" s="4"/>
      <c r="G1002" s="4"/>
      <c r="H1002" s="4"/>
      <c r="I1002" s="8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82"/>
      <c r="B1003" s="82"/>
      <c r="C1003" s="83"/>
      <c r="D1003" s="4"/>
      <c r="E1003" s="4"/>
      <c r="F1003" s="4"/>
      <c r="G1003" s="4"/>
      <c r="H1003" s="4"/>
      <c r="I1003" s="8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82"/>
      <c r="B1004" s="82"/>
      <c r="C1004" s="83"/>
      <c r="D1004" s="4"/>
      <c r="E1004" s="4"/>
      <c r="F1004" s="4"/>
      <c r="G1004" s="4"/>
      <c r="H1004" s="4"/>
      <c r="I1004" s="8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82"/>
      <c r="B1005" s="82"/>
      <c r="C1005" s="83"/>
      <c r="D1005" s="4"/>
      <c r="E1005" s="4"/>
      <c r="F1005" s="4"/>
      <c r="G1005" s="4"/>
      <c r="H1005" s="4"/>
      <c r="I1005" s="8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82"/>
      <c r="B1006" s="82"/>
      <c r="C1006" s="83"/>
      <c r="D1006" s="4"/>
      <c r="E1006" s="4"/>
      <c r="F1006" s="4"/>
      <c r="G1006" s="4"/>
      <c r="H1006" s="4"/>
      <c r="I1006" s="8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82"/>
      <c r="B1007" s="82"/>
      <c r="C1007" s="83"/>
      <c r="D1007" s="4"/>
      <c r="E1007" s="4"/>
      <c r="F1007" s="4"/>
      <c r="G1007" s="4"/>
      <c r="H1007" s="4"/>
      <c r="I1007" s="8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82"/>
      <c r="B1008" s="82"/>
      <c r="C1008" s="83"/>
      <c r="D1008" s="4"/>
      <c r="E1008" s="4"/>
      <c r="F1008" s="4"/>
      <c r="G1008" s="4"/>
      <c r="H1008" s="4"/>
      <c r="I1008" s="8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82"/>
      <c r="B1009" s="82"/>
      <c r="C1009" s="83"/>
      <c r="D1009" s="4"/>
      <c r="E1009" s="4"/>
      <c r="F1009" s="4"/>
      <c r="G1009" s="4"/>
      <c r="H1009" s="4"/>
      <c r="I1009" s="8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82"/>
      <c r="B1010" s="82"/>
      <c r="C1010" s="83"/>
      <c r="D1010" s="4"/>
      <c r="E1010" s="4"/>
      <c r="F1010" s="4"/>
      <c r="G1010" s="4"/>
      <c r="H1010" s="4"/>
      <c r="I1010" s="8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82"/>
      <c r="B1011" s="82"/>
      <c r="C1011" s="83"/>
      <c r="D1011" s="4"/>
      <c r="E1011" s="4"/>
      <c r="F1011" s="4"/>
      <c r="G1011" s="4"/>
      <c r="H1011" s="4"/>
      <c r="I1011" s="8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82"/>
      <c r="B1012" s="82"/>
      <c r="C1012" s="83"/>
      <c r="D1012" s="4"/>
      <c r="E1012" s="4"/>
      <c r="F1012" s="4"/>
      <c r="G1012" s="4"/>
      <c r="H1012" s="4"/>
      <c r="I1012" s="8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82"/>
      <c r="B1013" s="82"/>
      <c r="C1013" s="83"/>
      <c r="D1013" s="4"/>
      <c r="E1013" s="4"/>
      <c r="F1013" s="4"/>
      <c r="G1013" s="4"/>
      <c r="H1013" s="4"/>
      <c r="I1013" s="8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82"/>
      <c r="B1014" s="82"/>
      <c r="C1014" s="83"/>
      <c r="D1014" s="4"/>
      <c r="E1014" s="4"/>
      <c r="F1014" s="4"/>
      <c r="G1014" s="4"/>
      <c r="H1014" s="4"/>
      <c r="I1014" s="8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82"/>
      <c r="B1015" s="82"/>
      <c r="C1015" s="83"/>
      <c r="D1015" s="4"/>
      <c r="E1015" s="4"/>
      <c r="F1015" s="4"/>
      <c r="G1015" s="4"/>
      <c r="H1015" s="4"/>
      <c r="I1015" s="8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82"/>
      <c r="B1016" s="82"/>
      <c r="C1016" s="83"/>
      <c r="D1016" s="4"/>
      <c r="E1016" s="4"/>
      <c r="F1016" s="4"/>
      <c r="G1016" s="4"/>
      <c r="H1016" s="4"/>
      <c r="I1016" s="8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82"/>
      <c r="B1017" s="82"/>
      <c r="C1017" s="83"/>
      <c r="D1017" s="4"/>
      <c r="E1017" s="4"/>
      <c r="F1017" s="4"/>
      <c r="G1017" s="4"/>
      <c r="H1017" s="4"/>
      <c r="I1017" s="8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82"/>
      <c r="B1018" s="82"/>
      <c r="C1018" s="83"/>
      <c r="D1018" s="4"/>
      <c r="E1018" s="4"/>
      <c r="F1018" s="4"/>
      <c r="G1018" s="4"/>
      <c r="H1018" s="4"/>
      <c r="I1018" s="8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82"/>
      <c r="B1019" s="82"/>
      <c r="C1019" s="83"/>
      <c r="D1019" s="4"/>
      <c r="E1019" s="4"/>
      <c r="F1019" s="4"/>
      <c r="G1019" s="4"/>
      <c r="H1019" s="4"/>
      <c r="I1019" s="8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82"/>
      <c r="B1020" s="82"/>
      <c r="C1020" s="83"/>
      <c r="D1020" s="4"/>
      <c r="E1020" s="4"/>
      <c r="F1020" s="4"/>
      <c r="G1020" s="4"/>
      <c r="H1020" s="4"/>
      <c r="I1020" s="8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82"/>
      <c r="B1021" s="82"/>
      <c r="C1021" s="83"/>
      <c r="D1021" s="4"/>
      <c r="E1021" s="4"/>
      <c r="F1021" s="4"/>
      <c r="G1021" s="4"/>
      <c r="H1021" s="4"/>
      <c r="I1021" s="8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82"/>
      <c r="B1022" s="82"/>
      <c r="C1022" s="83"/>
      <c r="D1022" s="4"/>
      <c r="E1022" s="4"/>
      <c r="F1022" s="4"/>
      <c r="G1022" s="4"/>
      <c r="H1022" s="4"/>
      <c r="I1022" s="8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82"/>
      <c r="B1023" s="82"/>
      <c r="C1023" s="83"/>
      <c r="D1023" s="4"/>
      <c r="E1023" s="4"/>
      <c r="F1023" s="4"/>
      <c r="G1023" s="4"/>
      <c r="H1023" s="4"/>
      <c r="I1023" s="8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82"/>
      <c r="B1024" s="82"/>
      <c r="C1024" s="83"/>
      <c r="D1024" s="4"/>
      <c r="E1024" s="4"/>
      <c r="F1024" s="4"/>
      <c r="G1024" s="4"/>
      <c r="H1024" s="4"/>
      <c r="I1024" s="8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82"/>
      <c r="B1025" s="82"/>
      <c r="C1025" s="83"/>
      <c r="D1025" s="4"/>
      <c r="E1025" s="4"/>
      <c r="F1025" s="4"/>
      <c r="G1025" s="4"/>
      <c r="H1025" s="4"/>
      <c r="I1025" s="8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82"/>
      <c r="B1026" s="82"/>
      <c r="C1026" s="83"/>
      <c r="D1026" s="4"/>
      <c r="E1026" s="4"/>
      <c r="F1026" s="4"/>
      <c r="G1026" s="4"/>
      <c r="H1026" s="4"/>
      <c r="I1026" s="8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82"/>
      <c r="B1027" s="82"/>
      <c r="C1027" s="83"/>
      <c r="D1027" s="4"/>
      <c r="E1027" s="4"/>
      <c r="F1027" s="4"/>
      <c r="G1027" s="4"/>
      <c r="H1027" s="4"/>
      <c r="I1027" s="8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82"/>
      <c r="B1028" s="82"/>
      <c r="C1028" s="83"/>
      <c r="D1028" s="4"/>
      <c r="E1028" s="4"/>
      <c r="F1028" s="4"/>
      <c r="G1028" s="4"/>
      <c r="H1028" s="4"/>
      <c r="I1028" s="8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82"/>
      <c r="B1029" s="82"/>
      <c r="C1029" s="83"/>
      <c r="D1029" s="4"/>
      <c r="E1029" s="4"/>
      <c r="F1029" s="4"/>
      <c r="G1029" s="4"/>
      <c r="H1029" s="4"/>
      <c r="I1029" s="8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82"/>
      <c r="B1030" s="82"/>
      <c r="C1030" s="83"/>
      <c r="D1030" s="4"/>
      <c r="E1030" s="4"/>
      <c r="F1030" s="4"/>
      <c r="G1030" s="4"/>
      <c r="H1030" s="4"/>
      <c r="I1030" s="8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82"/>
      <c r="B1031" s="82"/>
      <c r="C1031" s="83"/>
      <c r="D1031" s="4"/>
      <c r="E1031" s="4"/>
      <c r="F1031" s="4"/>
      <c r="G1031" s="4"/>
      <c r="H1031" s="4"/>
      <c r="I1031" s="8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82"/>
      <c r="B1032" s="82"/>
      <c r="C1032" s="83"/>
      <c r="D1032" s="4"/>
      <c r="E1032" s="4"/>
      <c r="F1032" s="4"/>
      <c r="G1032" s="4"/>
      <c r="H1032" s="4"/>
      <c r="I1032" s="8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82"/>
      <c r="B1033" s="82"/>
      <c r="C1033" s="83"/>
      <c r="D1033" s="4"/>
      <c r="E1033" s="4"/>
      <c r="F1033" s="4"/>
      <c r="G1033" s="4"/>
      <c r="H1033" s="4"/>
      <c r="I1033" s="8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82"/>
      <c r="B1034" s="82"/>
      <c r="C1034" s="83"/>
      <c r="D1034" s="4"/>
      <c r="E1034" s="4"/>
      <c r="F1034" s="4"/>
      <c r="G1034" s="4"/>
      <c r="H1034" s="4"/>
      <c r="I1034" s="8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82"/>
      <c r="B1035" s="82"/>
      <c r="C1035" s="83"/>
      <c r="D1035" s="4"/>
      <c r="E1035" s="4"/>
      <c r="F1035" s="4"/>
      <c r="G1035" s="4"/>
      <c r="H1035" s="4"/>
      <c r="I1035" s="8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82"/>
      <c r="B1036" s="82"/>
      <c r="C1036" s="83"/>
      <c r="D1036" s="4"/>
      <c r="E1036" s="4"/>
      <c r="F1036" s="4"/>
      <c r="G1036" s="4"/>
      <c r="H1036" s="4"/>
      <c r="I1036" s="8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82"/>
      <c r="B1037" s="82"/>
      <c r="C1037" s="83"/>
      <c r="D1037" s="4"/>
      <c r="E1037" s="4"/>
      <c r="F1037" s="4"/>
      <c r="G1037" s="4"/>
      <c r="H1037" s="4"/>
      <c r="I1037" s="8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82"/>
      <c r="B1038" s="82"/>
      <c r="C1038" s="83"/>
      <c r="D1038" s="4"/>
      <c r="E1038" s="4"/>
      <c r="F1038" s="4"/>
      <c r="G1038" s="4"/>
      <c r="H1038" s="4"/>
      <c r="I1038" s="8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82"/>
      <c r="B1039" s="82"/>
      <c r="C1039" s="83"/>
      <c r="D1039" s="4"/>
      <c r="E1039" s="4"/>
      <c r="F1039" s="4"/>
      <c r="G1039" s="4"/>
      <c r="H1039" s="4"/>
      <c r="I1039" s="8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82"/>
      <c r="B1040" s="82"/>
      <c r="C1040" s="83"/>
      <c r="D1040" s="4"/>
      <c r="E1040" s="4"/>
      <c r="F1040" s="4"/>
      <c r="G1040" s="4"/>
      <c r="H1040" s="4"/>
      <c r="I1040" s="8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82"/>
      <c r="B1041" s="82"/>
      <c r="C1041" s="83"/>
      <c r="D1041" s="4"/>
      <c r="E1041" s="4"/>
      <c r="F1041" s="4"/>
      <c r="G1041" s="4"/>
      <c r="H1041" s="4"/>
      <c r="I1041" s="8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82"/>
      <c r="B1042" s="82"/>
      <c r="C1042" s="83"/>
      <c r="D1042" s="4"/>
      <c r="E1042" s="4"/>
      <c r="F1042" s="4"/>
      <c r="G1042" s="4"/>
      <c r="H1042" s="4"/>
      <c r="I1042" s="8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82"/>
      <c r="B1043" s="82"/>
      <c r="C1043" s="83"/>
      <c r="D1043" s="4"/>
      <c r="E1043" s="4"/>
      <c r="F1043" s="4"/>
      <c r="G1043" s="4"/>
      <c r="H1043" s="4"/>
      <c r="I1043" s="8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82"/>
      <c r="B1044" s="82"/>
      <c r="C1044" s="83"/>
      <c r="D1044" s="4"/>
      <c r="E1044" s="4"/>
      <c r="F1044" s="4"/>
      <c r="G1044" s="4"/>
      <c r="H1044" s="4"/>
      <c r="I1044" s="8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82"/>
      <c r="B1045" s="82"/>
      <c r="C1045" s="83"/>
      <c r="D1045" s="4"/>
      <c r="E1045" s="4"/>
      <c r="F1045" s="4"/>
      <c r="G1045" s="4"/>
      <c r="H1045" s="4"/>
      <c r="I1045" s="8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82"/>
      <c r="B1046" s="82"/>
      <c r="C1046" s="83"/>
      <c r="D1046" s="4"/>
      <c r="E1046" s="4"/>
      <c r="F1046" s="4"/>
      <c r="G1046" s="4"/>
      <c r="H1046" s="4"/>
      <c r="I1046" s="8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82"/>
      <c r="B1047" s="82"/>
      <c r="C1047" s="83"/>
      <c r="D1047" s="4"/>
      <c r="E1047" s="4"/>
      <c r="F1047" s="4"/>
      <c r="G1047" s="4"/>
      <c r="H1047" s="4"/>
      <c r="I1047" s="8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82"/>
      <c r="B1048" s="82"/>
      <c r="C1048" s="83"/>
      <c r="D1048" s="4"/>
      <c r="E1048" s="4"/>
      <c r="F1048" s="4"/>
      <c r="G1048" s="4"/>
      <c r="H1048" s="4"/>
      <c r="I1048" s="8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82"/>
      <c r="B1049" s="82"/>
      <c r="C1049" s="83"/>
      <c r="D1049" s="4"/>
      <c r="E1049" s="4"/>
      <c r="F1049" s="4"/>
      <c r="G1049" s="4"/>
      <c r="H1049" s="4"/>
      <c r="I1049" s="8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82"/>
      <c r="B1050" s="82"/>
      <c r="C1050" s="83"/>
      <c r="D1050" s="4"/>
      <c r="E1050" s="4"/>
      <c r="F1050" s="4"/>
      <c r="G1050" s="4"/>
      <c r="H1050" s="4"/>
      <c r="I1050" s="8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82"/>
      <c r="B1051" s="82"/>
      <c r="C1051" s="83"/>
      <c r="D1051" s="4"/>
      <c r="E1051" s="4"/>
      <c r="F1051" s="4"/>
      <c r="G1051" s="4"/>
      <c r="H1051" s="4"/>
      <c r="I1051" s="8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82"/>
      <c r="B1052" s="82"/>
      <c r="C1052" s="83"/>
      <c r="D1052" s="4"/>
      <c r="E1052" s="4"/>
      <c r="F1052" s="4"/>
      <c r="G1052" s="4"/>
      <c r="H1052" s="4"/>
      <c r="I1052" s="8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82"/>
      <c r="B1053" s="82"/>
      <c r="C1053" s="83"/>
      <c r="D1053" s="4"/>
      <c r="E1053" s="4"/>
      <c r="F1053" s="4"/>
      <c r="G1053" s="4"/>
      <c r="H1053" s="4"/>
      <c r="I1053" s="8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82"/>
      <c r="B1054" s="82"/>
      <c r="C1054" s="83"/>
      <c r="D1054" s="4"/>
      <c r="E1054" s="4"/>
      <c r="F1054" s="4"/>
      <c r="G1054" s="4"/>
      <c r="H1054" s="4"/>
      <c r="I1054" s="8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82"/>
      <c r="B1055" s="82"/>
      <c r="C1055" s="83"/>
      <c r="D1055" s="4"/>
      <c r="E1055" s="4"/>
      <c r="F1055" s="4"/>
      <c r="G1055" s="4"/>
      <c r="H1055" s="4"/>
      <c r="I1055" s="8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82"/>
      <c r="B1056" s="82"/>
      <c r="C1056" s="83"/>
      <c r="D1056" s="4"/>
      <c r="E1056" s="4"/>
      <c r="F1056" s="4"/>
      <c r="G1056" s="4"/>
      <c r="H1056" s="4"/>
      <c r="I1056" s="8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82"/>
      <c r="B1057" s="82"/>
      <c r="C1057" s="83"/>
      <c r="D1057" s="4"/>
      <c r="E1057" s="4"/>
      <c r="F1057" s="4"/>
      <c r="G1057" s="4"/>
      <c r="H1057" s="4"/>
      <c r="I1057" s="8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>
      <c r="A1058" s="82"/>
      <c r="B1058" s="82"/>
      <c r="C1058" s="83"/>
      <c r="D1058" s="4"/>
      <c r="E1058" s="4"/>
      <c r="F1058" s="4"/>
      <c r="G1058" s="4"/>
      <c r="H1058" s="4"/>
      <c r="I1058" s="8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>
      <c r="A1059" s="82"/>
      <c r="B1059" s="82"/>
      <c r="C1059" s="83"/>
      <c r="D1059" s="4"/>
      <c r="E1059" s="4"/>
      <c r="F1059" s="4"/>
      <c r="G1059" s="4"/>
      <c r="H1059" s="4"/>
      <c r="I1059" s="8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>
      <c r="A1060" s="82"/>
      <c r="B1060" s="82"/>
      <c r="C1060" s="83"/>
      <c r="D1060" s="4"/>
      <c r="E1060" s="4"/>
      <c r="F1060" s="4"/>
      <c r="G1060" s="4"/>
      <c r="H1060" s="4"/>
      <c r="I1060" s="8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>
      <c r="A1061" s="82"/>
      <c r="B1061" s="82"/>
      <c r="C1061" s="83"/>
      <c r="D1061" s="4"/>
      <c r="E1061" s="4"/>
      <c r="F1061" s="4"/>
      <c r="G1061" s="4"/>
      <c r="H1061" s="4"/>
      <c r="I1061" s="8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>
      <c r="A1062" s="82"/>
      <c r="B1062" s="82"/>
      <c r="C1062" s="83"/>
      <c r="D1062" s="4"/>
      <c r="E1062" s="4"/>
      <c r="F1062" s="4"/>
      <c r="G1062" s="4"/>
      <c r="H1062" s="4"/>
      <c r="I1062" s="8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>
      <c r="A1063" s="82"/>
      <c r="B1063" s="82"/>
      <c r="C1063" s="83"/>
      <c r="D1063" s="4"/>
      <c r="E1063" s="4"/>
      <c r="F1063" s="4"/>
      <c r="G1063" s="4"/>
      <c r="H1063" s="4"/>
      <c r="I1063" s="8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>
      <c r="A1064" s="82"/>
      <c r="B1064" s="82"/>
      <c r="C1064" s="83"/>
      <c r="D1064" s="4"/>
      <c r="E1064" s="4"/>
      <c r="F1064" s="4"/>
      <c r="G1064" s="4"/>
      <c r="H1064" s="4"/>
      <c r="I1064" s="8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>
      <c r="A1065" s="82"/>
      <c r="B1065" s="82"/>
      <c r="C1065" s="83"/>
      <c r="D1065" s="4"/>
      <c r="E1065" s="4"/>
      <c r="F1065" s="4"/>
      <c r="G1065" s="4"/>
      <c r="H1065" s="4"/>
      <c r="I1065" s="8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>
      <c r="A1066" s="82"/>
      <c r="B1066" s="82"/>
      <c r="C1066" s="83"/>
      <c r="D1066" s="4"/>
      <c r="E1066" s="4"/>
      <c r="F1066" s="4"/>
      <c r="G1066" s="4"/>
      <c r="H1066" s="4"/>
      <c r="I1066" s="8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>
      <c r="A1067" s="82"/>
      <c r="B1067" s="82"/>
      <c r="C1067" s="83"/>
      <c r="D1067" s="4"/>
      <c r="E1067" s="4"/>
      <c r="F1067" s="4"/>
      <c r="G1067" s="4"/>
      <c r="H1067" s="4"/>
      <c r="I1067" s="8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>
      <c r="A1068" s="82"/>
      <c r="B1068" s="82"/>
      <c r="C1068" s="83"/>
      <c r="D1068" s="4"/>
      <c r="E1068" s="4"/>
      <c r="F1068" s="4"/>
      <c r="G1068" s="4"/>
      <c r="H1068" s="4"/>
      <c r="I1068" s="8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>
      <c r="A1069" s="82"/>
      <c r="B1069" s="82"/>
      <c r="C1069" s="83"/>
      <c r="D1069" s="4"/>
      <c r="E1069" s="4"/>
      <c r="F1069" s="4"/>
      <c r="G1069" s="4"/>
      <c r="H1069" s="4"/>
      <c r="I1069" s="8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>
      <c r="A1070" s="82"/>
      <c r="B1070" s="82"/>
      <c r="C1070" s="83"/>
      <c r="D1070" s="4"/>
      <c r="E1070" s="4"/>
      <c r="F1070" s="4"/>
      <c r="G1070" s="4"/>
      <c r="H1070" s="4"/>
      <c r="I1070" s="8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>
      <c r="A1071" s="82"/>
      <c r="B1071" s="82"/>
      <c r="C1071" s="83"/>
      <c r="D1071" s="4"/>
      <c r="E1071" s="4"/>
      <c r="F1071" s="4"/>
      <c r="G1071" s="4"/>
      <c r="H1071" s="4"/>
      <c r="I1071" s="8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>
      <c r="A1072" s="82"/>
      <c r="B1072" s="82"/>
      <c r="C1072" s="83"/>
      <c r="D1072" s="4"/>
      <c r="E1072" s="4"/>
      <c r="F1072" s="4"/>
      <c r="G1072" s="4"/>
      <c r="H1072" s="4"/>
      <c r="I1072" s="8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>
      <c r="A1073" s="82"/>
      <c r="B1073" s="82"/>
      <c r="C1073" s="83"/>
      <c r="D1073" s="4"/>
      <c r="E1073" s="4"/>
      <c r="F1073" s="4"/>
      <c r="G1073" s="4"/>
      <c r="H1073" s="4"/>
      <c r="I1073" s="8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>
      <c r="A1074" s="82"/>
      <c r="B1074" s="82"/>
      <c r="C1074" s="83"/>
      <c r="D1074" s="4"/>
      <c r="E1074" s="4"/>
      <c r="F1074" s="4"/>
      <c r="G1074" s="4"/>
      <c r="H1074" s="4"/>
      <c r="I1074" s="8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>
      <c r="A1075" s="82"/>
      <c r="B1075" s="82"/>
      <c r="C1075" s="83"/>
      <c r="D1075" s="4"/>
      <c r="E1075" s="4"/>
      <c r="F1075" s="4"/>
      <c r="G1075" s="4"/>
      <c r="H1075" s="4"/>
      <c r="I1075" s="8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>
      <c r="A1076" s="82"/>
      <c r="B1076" s="82"/>
      <c r="C1076" s="83"/>
      <c r="D1076" s="4"/>
      <c r="E1076" s="4"/>
      <c r="F1076" s="4"/>
      <c r="G1076" s="4"/>
      <c r="H1076" s="4"/>
      <c r="I1076" s="8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>
      <c r="A1077" s="82"/>
      <c r="B1077" s="82"/>
      <c r="C1077" s="83"/>
      <c r="D1077" s="4"/>
      <c r="E1077" s="4"/>
      <c r="F1077" s="4"/>
      <c r="G1077" s="4"/>
      <c r="H1077" s="4"/>
      <c r="I1077" s="8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>
      <c r="A1078" s="82"/>
      <c r="B1078" s="82"/>
      <c r="C1078" s="83"/>
      <c r="D1078" s="4"/>
      <c r="E1078" s="4"/>
      <c r="F1078" s="4"/>
      <c r="G1078" s="4"/>
      <c r="H1078" s="4"/>
      <c r="I1078" s="8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>
      <c r="A1079" s="82"/>
      <c r="B1079" s="82"/>
      <c r="C1079" s="83"/>
      <c r="D1079" s="4"/>
      <c r="E1079" s="4"/>
      <c r="F1079" s="4"/>
      <c r="G1079" s="4"/>
      <c r="H1079" s="4"/>
      <c r="I1079" s="8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>
      <c r="A1080" s="82"/>
      <c r="B1080" s="82"/>
      <c r="C1080" s="83"/>
      <c r="D1080" s="4"/>
      <c r="E1080" s="4"/>
      <c r="F1080" s="4"/>
      <c r="G1080" s="4"/>
      <c r="H1080" s="4"/>
      <c r="I1080" s="8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>
      <c r="A1081" s="82"/>
      <c r="B1081" s="82"/>
      <c r="C1081" s="83"/>
      <c r="D1081" s="4"/>
      <c r="E1081" s="4"/>
      <c r="F1081" s="4"/>
      <c r="G1081" s="4"/>
      <c r="H1081" s="4"/>
      <c r="I1081" s="8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>
      <c r="A1082" s="82"/>
      <c r="B1082" s="82"/>
      <c r="C1082" s="83"/>
      <c r="D1082" s="4"/>
      <c r="E1082" s="4"/>
      <c r="F1082" s="4"/>
      <c r="G1082" s="4"/>
      <c r="H1082" s="4"/>
      <c r="I1082" s="8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>
      <c r="A1083" s="82"/>
      <c r="B1083" s="82"/>
      <c r="C1083" s="83"/>
      <c r="D1083" s="4"/>
      <c r="E1083" s="4"/>
      <c r="F1083" s="4"/>
      <c r="G1083" s="4"/>
      <c r="H1083" s="4"/>
      <c r="I1083" s="8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>
      <c r="A1084" s="82"/>
      <c r="B1084" s="82"/>
      <c r="C1084" s="83"/>
      <c r="D1084" s="4"/>
      <c r="E1084" s="4"/>
      <c r="F1084" s="4"/>
      <c r="G1084" s="4"/>
      <c r="H1084" s="4"/>
      <c r="I1084" s="8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>
      <c r="A1085" s="82"/>
      <c r="B1085" s="82"/>
      <c r="C1085" s="83"/>
      <c r="D1085" s="4"/>
      <c r="E1085" s="4"/>
      <c r="F1085" s="4"/>
      <c r="G1085" s="4"/>
      <c r="H1085" s="4"/>
      <c r="I1085" s="8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>
      <c r="A1086" s="82"/>
      <c r="B1086" s="82"/>
      <c r="C1086" s="83"/>
      <c r="D1086" s="4"/>
      <c r="E1086" s="4"/>
      <c r="F1086" s="4"/>
      <c r="G1086" s="4"/>
      <c r="H1086" s="4"/>
      <c r="I1086" s="8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>
      <c r="A1087" s="82"/>
      <c r="B1087" s="82"/>
      <c r="C1087" s="83"/>
      <c r="D1087" s="4"/>
      <c r="E1087" s="4"/>
      <c r="F1087" s="4"/>
      <c r="G1087" s="4"/>
      <c r="H1087" s="4"/>
      <c r="I1087" s="8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>
      <c r="A1088" s="82"/>
      <c r="B1088" s="82"/>
      <c r="C1088" s="83"/>
      <c r="D1088" s="4"/>
      <c r="E1088" s="4"/>
      <c r="F1088" s="4"/>
      <c r="G1088" s="4"/>
      <c r="H1088" s="4"/>
      <c r="I1088" s="8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>
      <c r="A1089" s="82"/>
      <c r="B1089" s="82"/>
      <c r="C1089" s="83"/>
      <c r="D1089" s="4"/>
      <c r="E1089" s="4"/>
      <c r="F1089" s="4"/>
      <c r="G1089" s="4"/>
      <c r="H1089" s="4"/>
      <c r="I1089" s="8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>
      <c r="A1090" s="82"/>
      <c r="B1090" s="82"/>
      <c r="C1090" s="83"/>
      <c r="D1090" s="4"/>
      <c r="E1090" s="4"/>
      <c r="F1090" s="4"/>
      <c r="G1090" s="4"/>
      <c r="H1090" s="4"/>
      <c r="I1090" s="8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>
      <c r="A1091" s="82"/>
      <c r="B1091" s="82"/>
      <c r="C1091" s="83"/>
      <c r="D1091" s="4"/>
      <c r="E1091" s="4"/>
      <c r="F1091" s="4"/>
      <c r="G1091" s="4"/>
      <c r="H1091" s="4"/>
      <c r="I1091" s="8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>
      <c r="A1092" s="82"/>
      <c r="B1092" s="82"/>
      <c r="C1092" s="83"/>
      <c r="D1092" s="4"/>
      <c r="E1092" s="4"/>
      <c r="F1092" s="4"/>
      <c r="G1092" s="4"/>
      <c r="H1092" s="4"/>
      <c r="I1092" s="8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>
      <c r="A1093" s="82"/>
      <c r="B1093" s="82"/>
      <c r="C1093" s="83"/>
      <c r="D1093" s="4"/>
      <c r="E1093" s="4"/>
      <c r="F1093" s="4"/>
      <c r="G1093" s="4"/>
      <c r="H1093" s="4"/>
      <c r="I1093" s="8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>
      <c r="A1094" s="82"/>
      <c r="B1094" s="82"/>
      <c r="C1094" s="83"/>
      <c r="D1094" s="4"/>
      <c r="E1094" s="4"/>
      <c r="F1094" s="4"/>
      <c r="G1094" s="4"/>
      <c r="H1094" s="4"/>
      <c r="I1094" s="8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>
      <c r="A1095" s="82"/>
      <c r="B1095" s="82"/>
      <c r="C1095" s="83"/>
      <c r="D1095" s="4"/>
      <c r="E1095" s="4"/>
      <c r="F1095" s="4"/>
      <c r="G1095" s="4"/>
      <c r="H1095" s="4"/>
      <c r="I1095" s="8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>
      <c r="A1096" s="82"/>
      <c r="B1096" s="82"/>
      <c r="C1096" s="83"/>
      <c r="D1096" s="4"/>
      <c r="E1096" s="4"/>
      <c r="F1096" s="4"/>
      <c r="G1096" s="4"/>
      <c r="H1096" s="4"/>
      <c r="I1096" s="8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>
      <c r="A1097" s="82"/>
      <c r="B1097" s="82"/>
      <c r="C1097" s="83"/>
      <c r="D1097" s="4"/>
      <c r="E1097" s="4"/>
      <c r="F1097" s="4"/>
      <c r="G1097" s="4"/>
      <c r="H1097" s="4"/>
      <c r="I1097" s="8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>
      <c r="A1098" s="82"/>
      <c r="B1098" s="82"/>
      <c r="C1098" s="83"/>
      <c r="D1098" s="4"/>
      <c r="E1098" s="4"/>
      <c r="F1098" s="4"/>
      <c r="G1098" s="4"/>
      <c r="H1098" s="4"/>
      <c r="I1098" s="8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>
      <c r="A1099" s="82"/>
      <c r="B1099" s="82"/>
      <c r="C1099" s="83"/>
      <c r="D1099" s="4"/>
      <c r="E1099" s="4"/>
      <c r="F1099" s="4"/>
      <c r="G1099" s="4"/>
      <c r="H1099" s="4"/>
      <c r="I1099" s="8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>
      <c r="A1100" s="82"/>
      <c r="B1100" s="82"/>
      <c r="C1100" s="83"/>
      <c r="D1100" s="4"/>
      <c r="E1100" s="4"/>
      <c r="F1100" s="4"/>
      <c r="G1100" s="4"/>
      <c r="H1100" s="4"/>
      <c r="I1100" s="8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>
      <c r="A1101" s="82"/>
      <c r="B1101" s="82"/>
      <c r="C1101" s="83"/>
      <c r="D1101" s="4"/>
      <c r="E1101" s="4"/>
      <c r="F1101" s="4"/>
      <c r="G1101" s="4"/>
      <c r="H1101" s="4"/>
      <c r="I1101" s="8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>
      <c r="A1102" s="82"/>
      <c r="B1102" s="82"/>
      <c r="C1102" s="83"/>
      <c r="D1102" s="4"/>
      <c r="E1102" s="4"/>
      <c r="F1102" s="4"/>
      <c r="G1102" s="4"/>
      <c r="H1102" s="4"/>
      <c r="I1102" s="8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>
      <c r="A1103" s="82"/>
      <c r="B1103" s="82"/>
      <c r="C1103" s="83"/>
      <c r="D1103" s="4"/>
      <c r="E1103" s="4"/>
      <c r="F1103" s="4"/>
      <c r="G1103" s="4"/>
      <c r="H1103" s="4"/>
      <c r="I1103" s="8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>
      <c r="A1104" s="82"/>
      <c r="B1104" s="82"/>
      <c r="C1104" s="83"/>
      <c r="D1104" s="4"/>
      <c r="E1104" s="4"/>
      <c r="F1104" s="4"/>
      <c r="G1104" s="4"/>
      <c r="H1104" s="4"/>
      <c r="I1104" s="8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</row>
    <row r="1105">
      <c r="A1105" s="82"/>
      <c r="B1105" s="82"/>
      <c r="C1105" s="83"/>
      <c r="D1105" s="4"/>
      <c r="E1105" s="4"/>
      <c r="F1105" s="4"/>
      <c r="G1105" s="4"/>
      <c r="H1105" s="4"/>
      <c r="I1105" s="8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>
      <c r="A1106" s="82"/>
      <c r="B1106" s="82"/>
      <c r="C1106" s="83"/>
      <c r="D1106" s="4"/>
      <c r="E1106" s="4"/>
      <c r="F1106" s="4"/>
      <c r="G1106" s="4"/>
      <c r="H1106" s="4"/>
      <c r="I1106" s="8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>
      <c r="A1107" s="82"/>
      <c r="B1107" s="82"/>
      <c r="C1107" s="83"/>
      <c r="D1107" s="4"/>
      <c r="E1107" s="4"/>
      <c r="F1107" s="4"/>
      <c r="G1107" s="4"/>
      <c r="H1107" s="4"/>
      <c r="I1107" s="8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>
      <c r="A1108" s="82"/>
      <c r="B1108" s="82"/>
      <c r="C1108" s="83"/>
      <c r="D1108" s="4"/>
      <c r="E1108" s="4"/>
      <c r="F1108" s="4"/>
      <c r="G1108" s="4"/>
      <c r="H1108" s="4"/>
      <c r="I1108" s="8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>
      <c r="A1109" s="82"/>
      <c r="B1109" s="82"/>
      <c r="C1109" s="83"/>
      <c r="D1109" s="4"/>
      <c r="E1109" s="4"/>
      <c r="F1109" s="4"/>
      <c r="G1109" s="4"/>
      <c r="H1109" s="4"/>
      <c r="I1109" s="8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</row>
    <row r="1110">
      <c r="A1110" s="82"/>
      <c r="B1110" s="82"/>
      <c r="C1110" s="83"/>
      <c r="D1110" s="4"/>
      <c r="E1110" s="4"/>
      <c r="F1110" s="4"/>
      <c r="G1110" s="4"/>
      <c r="H1110" s="4"/>
      <c r="I1110" s="8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</row>
    <row r="1111">
      <c r="A1111" s="82"/>
      <c r="B1111" s="82"/>
      <c r="C1111" s="83"/>
      <c r="D1111" s="4"/>
      <c r="E1111" s="4"/>
      <c r="F1111" s="4"/>
      <c r="G1111" s="4"/>
      <c r="H1111" s="4"/>
      <c r="I1111" s="8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</row>
    <row r="1112">
      <c r="A1112" s="82"/>
      <c r="B1112" s="82"/>
      <c r="C1112" s="83"/>
      <c r="D1112" s="4"/>
      <c r="E1112" s="4"/>
      <c r="F1112" s="4"/>
      <c r="G1112" s="4"/>
      <c r="H1112" s="4"/>
      <c r="I1112" s="8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</row>
    <row r="1113">
      <c r="A1113" s="82"/>
      <c r="B1113" s="82"/>
      <c r="C1113" s="83"/>
      <c r="D1113" s="4"/>
      <c r="E1113" s="4"/>
      <c r="F1113" s="4"/>
      <c r="G1113" s="4"/>
      <c r="H1113" s="4"/>
      <c r="I1113" s="8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</row>
    <row r="1114">
      <c r="A1114" s="82"/>
      <c r="B1114" s="82"/>
      <c r="C1114" s="83"/>
      <c r="D1114" s="4"/>
      <c r="E1114" s="4"/>
      <c r="F1114" s="4"/>
      <c r="G1114" s="4"/>
      <c r="H1114" s="4"/>
      <c r="I1114" s="8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</row>
    <row r="1115">
      <c r="A1115" s="82"/>
      <c r="B1115" s="82"/>
      <c r="C1115" s="83"/>
      <c r="D1115" s="4"/>
      <c r="E1115" s="4"/>
      <c r="F1115" s="4"/>
      <c r="G1115" s="4"/>
      <c r="H1115" s="4"/>
      <c r="I1115" s="8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</row>
    <row r="1116">
      <c r="A1116" s="82"/>
      <c r="B1116" s="82"/>
      <c r="C1116" s="83"/>
      <c r="D1116" s="4"/>
      <c r="E1116" s="4"/>
      <c r="F1116" s="4"/>
      <c r="G1116" s="4"/>
      <c r="H1116" s="4"/>
      <c r="I1116" s="8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</row>
    <row r="1117">
      <c r="A1117" s="82"/>
      <c r="B1117" s="82"/>
      <c r="C1117" s="83"/>
      <c r="D1117" s="4"/>
      <c r="E1117" s="4"/>
      <c r="F1117" s="4"/>
      <c r="G1117" s="4"/>
      <c r="H1117" s="4"/>
      <c r="I1117" s="8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</row>
    <row r="1118">
      <c r="A1118" s="82"/>
      <c r="B1118" s="82"/>
      <c r="C1118" s="83"/>
      <c r="D1118" s="4"/>
      <c r="E1118" s="4"/>
      <c r="F1118" s="4"/>
      <c r="G1118" s="4"/>
      <c r="H1118" s="4"/>
      <c r="I1118" s="8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</row>
    <row r="1119">
      <c r="A1119" s="82"/>
      <c r="B1119" s="82"/>
      <c r="C1119" s="83"/>
      <c r="D1119" s="4"/>
      <c r="E1119" s="4"/>
      <c r="F1119" s="4"/>
      <c r="G1119" s="4"/>
      <c r="H1119" s="4"/>
      <c r="I1119" s="8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>
      <c r="A1120" s="82"/>
      <c r="B1120" s="82"/>
      <c r="C1120" s="83"/>
      <c r="D1120" s="4"/>
      <c r="E1120" s="4"/>
      <c r="F1120" s="4"/>
      <c r="G1120" s="4"/>
      <c r="H1120" s="4"/>
      <c r="I1120" s="8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>
      <c r="A1121" s="82"/>
      <c r="B1121" s="82"/>
      <c r="C1121" s="83"/>
      <c r="D1121" s="4"/>
      <c r="E1121" s="4"/>
      <c r="F1121" s="4"/>
      <c r="G1121" s="4"/>
      <c r="H1121" s="4"/>
      <c r="I1121" s="8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>
      <c r="A1122" s="82"/>
      <c r="B1122" s="82"/>
      <c r="C1122" s="83"/>
      <c r="D1122" s="4"/>
      <c r="E1122" s="4"/>
      <c r="F1122" s="4"/>
      <c r="G1122" s="4"/>
      <c r="H1122" s="4"/>
      <c r="I1122" s="8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>
      <c r="A1123" s="82"/>
      <c r="B1123" s="82"/>
      <c r="C1123" s="83"/>
      <c r="D1123" s="4"/>
      <c r="E1123" s="4"/>
      <c r="F1123" s="4"/>
      <c r="G1123" s="4"/>
      <c r="H1123" s="4"/>
      <c r="I1123" s="8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>
      <c r="A1124" s="82"/>
      <c r="B1124" s="82"/>
      <c r="C1124" s="83"/>
      <c r="D1124" s="4"/>
      <c r="E1124" s="4"/>
      <c r="F1124" s="4"/>
      <c r="G1124" s="4"/>
      <c r="H1124" s="4"/>
      <c r="I1124" s="8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>
      <c r="A1125" s="82"/>
      <c r="B1125" s="82"/>
      <c r="C1125" s="83"/>
      <c r="D1125" s="4"/>
      <c r="E1125" s="4"/>
      <c r="F1125" s="4"/>
      <c r="G1125" s="4"/>
      <c r="H1125" s="4"/>
      <c r="I1125" s="8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>
      <c r="A1126" s="82"/>
      <c r="B1126" s="82"/>
      <c r="C1126" s="83"/>
      <c r="D1126" s="4"/>
      <c r="E1126" s="4"/>
      <c r="F1126" s="4"/>
      <c r="G1126" s="4"/>
      <c r="H1126" s="4"/>
      <c r="I1126" s="8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>
      <c r="A1127" s="82"/>
      <c r="B1127" s="82"/>
      <c r="C1127" s="83"/>
      <c r="D1127" s="4"/>
      <c r="E1127" s="4"/>
      <c r="F1127" s="4"/>
      <c r="G1127" s="4"/>
      <c r="H1127" s="4"/>
      <c r="I1127" s="8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>
      <c r="A1128" s="82"/>
      <c r="B1128" s="82"/>
      <c r="C1128" s="83"/>
      <c r="D1128" s="4"/>
      <c r="E1128" s="4"/>
      <c r="F1128" s="4"/>
      <c r="G1128" s="4"/>
      <c r="H1128" s="4"/>
      <c r="I1128" s="8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>
      <c r="A1129" s="82"/>
      <c r="B1129" s="82"/>
      <c r="C1129" s="83"/>
      <c r="D1129" s="4"/>
      <c r="E1129" s="4"/>
      <c r="F1129" s="4"/>
      <c r="G1129" s="4"/>
      <c r="H1129" s="4"/>
      <c r="I1129" s="8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>
      <c r="A1130" s="82"/>
      <c r="B1130" s="82"/>
      <c r="C1130" s="83"/>
      <c r="D1130" s="4"/>
      <c r="E1130" s="4"/>
      <c r="F1130" s="4"/>
      <c r="G1130" s="4"/>
      <c r="H1130" s="4"/>
      <c r="I1130" s="8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>
      <c r="A1131" s="82"/>
      <c r="B1131" s="82"/>
      <c r="C1131" s="83"/>
      <c r="D1131" s="4"/>
      <c r="E1131" s="4"/>
      <c r="F1131" s="4"/>
      <c r="G1131" s="4"/>
      <c r="H1131" s="4"/>
      <c r="I1131" s="8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>
      <c r="A1132" s="82"/>
      <c r="B1132" s="82"/>
      <c r="C1132" s="83"/>
      <c r="D1132" s="4"/>
      <c r="E1132" s="4"/>
      <c r="F1132" s="4"/>
      <c r="G1132" s="4"/>
      <c r="H1132" s="4"/>
      <c r="I1132" s="8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>
      <c r="A1133" s="82"/>
      <c r="B1133" s="82"/>
      <c r="C1133" s="83"/>
      <c r="D1133" s="4"/>
      <c r="E1133" s="4"/>
      <c r="F1133" s="4"/>
      <c r="G1133" s="4"/>
      <c r="H1133" s="4"/>
      <c r="I1133" s="8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</row>
    <row r="1134">
      <c r="A1134" s="82"/>
      <c r="B1134" s="82"/>
      <c r="C1134" s="83"/>
      <c r="D1134" s="4"/>
      <c r="E1134" s="4"/>
      <c r="F1134" s="4"/>
      <c r="G1134" s="4"/>
      <c r="H1134" s="4"/>
      <c r="I1134" s="8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>
      <c r="A1135" s="82"/>
      <c r="B1135" s="82"/>
      <c r="C1135" s="83"/>
      <c r="D1135" s="4"/>
      <c r="E1135" s="4"/>
      <c r="F1135" s="4"/>
      <c r="G1135" s="4"/>
      <c r="H1135" s="4"/>
      <c r="I1135" s="8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</row>
    <row r="1136">
      <c r="A1136" s="82"/>
      <c r="B1136" s="82"/>
      <c r="C1136" s="83"/>
      <c r="D1136" s="4"/>
      <c r="E1136" s="4"/>
      <c r="F1136" s="4"/>
      <c r="G1136" s="4"/>
      <c r="H1136" s="4"/>
      <c r="I1136" s="8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</row>
    <row r="1137">
      <c r="A1137" s="82"/>
      <c r="B1137" s="82"/>
      <c r="C1137" s="83"/>
      <c r="D1137" s="4"/>
      <c r="E1137" s="4"/>
      <c r="F1137" s="4"/>
      <c r="G1137" s="4"/>
      <c r="H1137" s="4"/>
      <c r="I1137" s="8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</row>
    <row r="1138">
      <c r="A1138" s="82"/>
      <c r="B1138" s="82"/>
      <c r="C1138" s="83"/>
      <c r="D1138" s="4"/>
      <c r="E1138" s="4"/>
      <c r="F1138" s="4"/>
      <c r="G1138" s="4"/>
      <c r="H1138" s="4"/>
      <c r="I1138" s="8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</row>
    <row r="1139">
      <c r="A1139" s="82"/>
      <c r="B1139" s="82"/>
      <c r="C1139" s="83"/>
      <c r="D1139" s="4"/>
      <c r="E1139" s="4"/>
      <c r="F1139" s="4"/>
      <c r="G1139" s="4"/>
      <c r="H1139" s="4"/>
      <c r="I1139" s="8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>
      <c r="A1140" s="82"/>
      <c r="B1140" s="82"/>
      <c r="C1140" s="83"/>
      <c r="D1140" s="4"/>
      <c r="E1140" s="4"/>
      <c r="F1140" s="4"/>
      <c r="G1140" s="4"/>
      <c r="H1140" s="4"/>
      <c r="I1140" s="8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</row>
    <row r="1141">
      <c r="A1141" s="82"/>
      <c r="B1141" s="82"/>
      <c r="C1141" s="83"/>
      <c r="D1141" s="4"/>
      <c r="E1141" s="4"/>
      <c r="F1141" s="4"/>
      <c r="G1141" s="4"/>
      <c r="H1141" s="4"/>
      <c r="I1141" s="8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>
      <c r="A1142" s="82"/>
      <c r="B1142" s="82"/>
      <c r="C1142" s="83"/>
      <c r="D1142" s="4"/>
      <c r="E1142" s="4"/>
      <c r="F1142" s="4"/>
      <c r="G1142" s="4"/>
      <c r="H1142" s="4"/>
      <c r="I1142" s="8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>
      <c r="A1143" s="82"/>
      <c r="B1143" s="82"/>
      <c r="C1143" s="83"/>
      <c r="D1143" s="4"/>
      <c r="E1143" s="4"/>
      <c r="F1143" s="4"/>
      <c r="G1143" s="4"/>
      <c r="H1143" s="4"/>
      <c r="I1143" s="8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</row>
    <row r="1144">
      <c r="A1144" s="82"/>
      <c r="B1144" s="82"/>
      <c r="C1144" s="83"/>
      <c r="D1144" s="4"/>
      <c r="E1144" s="4"/>
      <c r="F1144" s="4"/>
      <c r="G1144" s="4"/>
      <c r="H1144" s="4"/>
      <c r="I1144" s="8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</row>
    <row r="1145">
      <c r="A1145" s="82"/>
      <c r="B1145" s="82"/>
      <c r="C1145" s="83"/>
      <c r="D1145" s="4"/>
      <c r="E1145" s="4"/>
      <c r="F1145" s="4"/>
      <c r="G1145" s="4"/>
      <c r="H1145" s="4"/>
      <c r="I1145" s="8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</row>
    <row r="1146">
      <c r="A1146" s="82"/>
      <c r="B1146" s="82"/>
      <c r="C1146" s="83"/>
      <c r="D1146" s="4"/>
      <c r="E1146" s="4"/>
      <c r="F1146" s="4"/>
      <c r="G1146" s="4"/>
      <c r="H1146" s="4"/>
      <c r="I1146" s="8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>
      <c r="A1147" s="82"/>
      <c r="B1147" s="82"/>
      <c r="C1147" s="83"/>
      <c r="D1147" s="4"/>
      <c r="E1147" s="4"/>
      <c r="F1147" s="4"/>
      <c r="G1147" s="4"/>
      <c r="H1147" s="4"/>
      <c r="I1147" s="8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</row>
    <row r="1148">
      <c r="A1148" s="82"/>
      <c r="B1148" s="82"/>
      <c r="C1148" s="83"/>
      <c r="D1148" s="4"/>
      <c r="E1148" s="4"/>
      <c r="F1148" s="4"/>
      <c r="G1148" s="4"/>
      <c r="H1148" s="4"/>
      <c r="I1148" s="8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  <row r="1149">
      <c r="A1149" s="82"/>
      <c r="B1149" s="82"/>
      <c r="C1149" s="83"/>
      <c r="D1149" s="4"/>
      <c r="E1149" s="4"/>
      <c r="F1149" s="4"/>
      <c r="G1149" s="4"/>
      <c r="H1149" s="4"/>
      <c r="I1149" s="8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</row>
    <row r="1150">
      <c r="A1150" s="82"/>
      <c r="B1150" s="82"/>
      <c r="C1150" s="83"/>
      <c r="D1150" s="4"/>
      <c r="E1150" s="4"/>
      <c r="F1150" s="4"/>
      <c r="G1150" s="4"/>
      <c r="H1150" s="4"/>
      <c r="I1150" s="8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</row>
    <row r="1151">
      <c r="A1151" s="82"/>
      <c r="B1151" s="82"/>
      <c r="C1151" s="83"/>
      <c r="D1151" s="4"/>
      <c r="E1151" s="4"/>
      <c r="F1151" s="4"/>
      <c r="G1151" s="4"/>
      <c r="H1151" s="4"/>
      <c r="I1151" s="8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</row>
    <row r="1152">
      <c r="A1152" s="82"/>
      <c r="B1152" s="82"/>
      <c r="C1152" s="83"/>
      <c r="D1152" s="4"/>
      <c r="E1152" s="4"/>
      <c r="F1152" s="4"/>
      <c r="G1152" s="4"/>
      <c r="H1152" s="4"/>
      <c r="I1152" s="8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>
      <c r="A1153" s="82"/>
      <c r="B1153" s="82"/>
      <c r="C1153" s="83"/>
      <c r="D1153" s="4"/>
      <c r="E1153" s="4"/>
      <c r="F1153" s="4"/>
      <c r="G1153" s="4"/>
      <c r="H1153" s="4"/>
      <c r="I1153" s="8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</row>
    <row r="1154">
      <c r="A1154" s="82"/>
      <c r="B1154" s="82"/>
      <c r="C1154" s="83"/>
      <c r="D1154" s="4"/>
      <c r="E1154" s="4"/>
      <c r="F1154" s="4"/>
      <c r="G1154" s="4"/>
      <c r="H1154" s="4"/>
      <c r="I1154" s="8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</row>
    <row r="1155">
      <c r="A1155" s="82"/>
      <c r="B1155" s="82"/>
      <c r="C1155" s="83"/>
      <c r="D1155" s="4"/>
      <c r="E1155" s="4"/>
      <c r="F1155" s="4"/>
      <c r="G1155" s="4"/>
      <c r="H1155" s="4"/>
      <c r="I1155" s="8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</row>
    <row r="1156">
      <c r="A1156" s="82"/>
      <c r="B1156" s="82"/>
      <c r="C1156" s="83"/>
      <c r="D1156" s="4"/>
      <c r="E1156" s="4"/>
      <c r="F1156" s="4"/>
      <c r="G1156" s="4"/>
      <c r="H1156" s="4"/>
      <c r="I1156" s="8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</row>
    <row r="1157">
      <c r="A1157" s="82"/>
      <c r="B1157" s="82"/>
      <c r="C1157" s="83"/>
      <c r="D1157" s="4"/>
      <c r="E1157" s="4"/>
      <c r="F1157" s="4"/>
      <c r="G1157" s="4"/>
      <c r="H1157" s="4"/>
      <c r="I1157" s="8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</row>
    <row r="1158">
      <c r="A1158" s="82"/>
      <c r="B1158" s="82"/>
      <c r="C1158" s="83"/>
      <c r="D1158" s="4"/>
      <c r="E1158" s="4"/>
      <c r="F1158" s="4"/>
      <c r="G1158" s="4"/>
      <c r="H1158" s="4"/>
      <c r="I1158" s="8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</row>
    <row r="1159">
      <c r="A1159" s="82"/>
      <c r="B1159" s="82"/>
      <c r="C1159" s="83"/>
      <c r="D1159" s="4"/>
      <c r="E1159" s="4"/>
      <c r="F1159" s="4"/>
      <c r="G1159" s="4"/>
      <c r="H1159" s="4"/>
      <c r="I1159" s="8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</row>
    <row r="1160">
      <c r="A1160" s="82"/>
      <c r="B1160" s="82"/>
      <c r="C1160" s="83"/>
      <c r="D1160" s="4"/>
      <c r="E1160" s="4"/>
      <c r="F1160" s="4"/>
      <c r="G1160" s="4"/>
      <c r="H1160" s="4"/>
      <c r="I1160" s="8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</row>
    <row r="1161">
      <c r="A1161" s="82"/>
      <c r="B1161" s="82"/>
      <c r="C1161" s="83"/>
      <c r="D1161" s="4"/>
      <c r="E1161" s="4"/>
      <c r="F1161" s="4"/>
      <c r="G1161" s="4"/>
      <c r="H1161" s="4"/>
      <c r="I1161" s="8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</row>
    <row r="1162">
      <c r="A1162" s="82"/>
      <c r="B1162" s="82"/>
      <c r="C1162" s="83"/>
      <c r="D1162" s="4"/>
      <c r="E1162" s="4"/>
      <c r="F1162" s="4"/>
      <c r="G1162" s="4"/>
      <c r="H1162" s="4"/>
      <c r="I1162" s="8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</row>
    <row r="1163">
      <c r="A1163" s="82"/>
      <c r="B1163" s="82"/>
      <c r="C1163" s="83"/>
      <c r="D1163" s="4"/>
      <c r="E1163" s="4"/>
      <c r="F1163" s="4"/>
      <c r="G1163" s="4"/>
      <c r="H1163" s="4"/>
      <c r="I1163" s="8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</row>
    <row r="1164">
      <c r="A1164" s="82"/>
      <c r="B1164" s="82"/>
      <c r="C1164" s="83"/>
      <c r="D1164" s="4"/>
      <c r="E1164" s="4"/>
      <c r="F1164" s="4"/>
      <c r="G1164" s="4"/>
      <c r="H1164" s="4"/>
      <c r="I1164" s="8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</row>
    <row r="1165">
      <c r="A1165" s="82"/>
      <c r="B1165" s="82"/>
      <c r="C1165" s="83"/>
      <c r="D1165" s="4"/>
      <c r="E1165" s="4"/>
      <c r="F1165" s="4"/>
      <c r="G1165" s="4"/>
      <c r="H1165" s="4"/>
      <c r="I1165" s="8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</row>
    <row r="1166">
      <c r="A1166" s="82"/>
      <c r="B1166" s="82"/>
      <c r="C1166" s="83"/>
      <c r="D1166" s="4"/>
      <c r="E1166" s="4"/>
      <c r="F1166" s="4"/>
      <c r="G1166" s="4"/>
      <c r="H1166" s="4"/>
      <c r="I1166" s="8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</row>
    <row r="1167">
      <c r="A1167" s="82"/>
      <c r="B1167" s="82"/>
      <c r="C1167" s="83"/>
      <c r="D1167" s="4"/>
      <c r="E1167" s="4"/>
      <c r="F1167" s="4"/>
      <c r="G1167" s="4"/>
      <c r="H1167" s="4"/>
      <c r="I1167" s="8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</row>
    <row r="1168">
      <c r="A1168" s="82"/>
      <c r="B1168" s="82"/>
      <c r="C1168" s="83"/>
      <c r="D1168" s="4"/>
      <c r="E1168" s="4"/>
      <c r="F1168" s="4"/>
      <c r="G1168" s="4"/>
      <c r="H1168" s="4"/>
      <c r="I1168" s="8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</row>
    <row r="1169">
      <c r="A1169" s="82"/>
      <c r="B1169" s="82"/>
      <c r="C1169" s="83"/>
      <c r="D1169" s="4"/>
      <c r="E1169" s="4"/>
      <c r="F1169" s="4"/>
      <c r="G1169" s="4"/>
      <c r="H1169" s="4"/>
      <c r="I1169" s="8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</row>
    <row r="1170">
      <c r="A1170" s="82"/>
      <c r="B1170" s="82"/>
      <c r="C1170" s="83"/>
      <c r="D1170" s="4"/>
      <c r="E1170" s="4"/>
      <c r="F1170" s="4"/>
      <c r="G1170" s="4"/>
      <c r="H1170" s="4"/>
      <c r="I1170" s="8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</row>
    <row r="1171">
      <c r="A1171" s="82"/>
      <c r="B1171" s="82"/>
      <c r="C1171" s="83"/>
      <c r="D1171" s="4"/>
      <c r="E1171" s="4"/>
      <c r="F1171" s="4"/>
      <c r="G1171" s="4"/>
      <c r="H1171" s="4"/>
      <c r="I1171" s="8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</row>
    <row r="1172">
      <c r="A1172" s="82"/>
      <c r="B1172" s="82"/>
      <c r="C1172" s="83"/>
      <c r="D1172" s="4"/>
      <c r="E1172" s="4"/>
      <c r="F1172" s="4"/>
      <c r="G1172" s="4"/>
      <c r="H1172" s="4"/>
      <c r="I1172" s="8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>
      <c r="A1173" s="82"/>
      <c r="B1173" s="82"/>
      <c r="C1173" s="83"/>
      <c r="D1173" s="4"/>
      <c r="E1173" s="4"/>
      <c r="F1173" s="4"/>
      <c r="G1173" s="4"/>
      <c r="H1173" s="4"/>
      <c r="I1173" s="8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</row>
    <row r="1174">
      <c r="A1174" s="82"/>
      <c r="B1174" s="82"/>
      <c r="C1174" s="83"/>
      <c r="D1174" s="4"/>
      <c r="E1174" s="4"/>
      <c r="F1174" s="4"/>
      <c r="G1174" s="4"/>
      <c r="H1174" s="4"/>
      <c r="I1174" s="8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</row>
    <row r="1175">
      <c r="A1175" s="82"/>
      <c r="B1175" s="82"/>
      <c r="C1175" s="83"/>
      <c r="D1175" s="4"/>
      <c r="E1175" s="4"/>
      <c r="F1175" s="4"/>
      <c r="G1175" s="4"/>
      <c r="H1175" s="4"/>
      <c r="I1175" s="8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>
      <c r="A1176" s="82"/>
      <c r="B1176" s="82"/>
      <c r="C1176" s="83"/>
      <c r="D1176" s="4"/>
      <c r="E1176" s="4"/>
      <c r="F1176" s="4"/>
      <c r="G1176" s="4"/>
      <c r="H1176" s="4"/>
      <c r="I1176" s="8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>
      <c r="A1177" s="82"/>
      <c r="B1177" s="82"/>
      <c r="C1177" s="83"/>
      <c r="D1177" s="4"/>
      <c r="E1177" s="4"/>
      <c r="F1177" s="4"/>
      <c r="G1177" s="4"/>
      <c r="H1177" s="4"/>
      <c r="I1177" s="8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>
      <c r="A1178" s="82"/>
      <c r="B1178" s="82"/>
      <c r="C1178" s="83"/>
      <c r="D1178" s="4"/>
      <c r="E1178" s="4"/>
      <c r="F1178" s="4"/>
      <c r="G1178" s="4"/>
      <c r="H1178" s="4"/>
      <c r="I1178" s="8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</row>
    <row r="1179">
      <c r="A1179" s="82"/>
      <c r="B1179" s="82"/>
      <c r="C1179" s="83"/>
      <c r="D1179" s="4"/>
      <c r="E1179" s="4"/>
      <c r="F1179" s="4"/>
      <c r="G1179" s="4"/>
      <c r="H1179" s="4"/>
      <c r="I1179" s="8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</row>
    <row r="1180">
      <c r="A1180" s="82"/>
      <c r="B1180" s="82"/>
      <c r="C1180" s="83"/>
      <c r="D1180" s="4"/>
      <c r="E1180" s="4"/>
      <c r="F1180" s="4"/>
      <c r="G1180" s="4"/>
      <c r="H1180" s="4"/>
      <c r="I1180" s="8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</row>
    <row r="1181">
      <c r="A1181" s="82"/>
      <c r="B1181" s="82"/>
      <c r="C1181" s="83"/>
      <c r="D1181" s="4"/>
      <c r="E1181" s="4"/>
      <c r="F1181" s="4"/>
      <c r="G1181" s="4"/>
      <c r="H1181" s="4"/>
      <c r="I1181" s="8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</row>
    <row r="1182">
      <c r="A1182" s="82"/>
      <c r="B1182" s="82"/>
      <c r="C1182" s="83"/>
      <c r="D1182" s="4"/>
      <c r="E1182" s="4"/>
      <c r="F1182" s="4"/>
      <c r="G1182" s="4"/>
      <c r="H1182" s="4"/>
      <c r="I1182" s="8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</row>
    <row r="1183">
      <c r="A1183" s="82"/>
      <c r="B1183" s="82"/>
      <c r="C1183" s="83"/>
      <c r="D1183" s="4"/>
      <c r="E1183" s="4"/>
      <c r="F1183" s="4"/>
      <c r="G1183" s="4"/>
      <c r="H1183" s="4"/>
      <c r="I1183" s="8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</row>
    <row r="1184">
      <c r="A1184" s="82"/>
      <c r="B1184" s="82"/>
      <c r="C1184" s="83"/>
      <c r="D1184" s="4"/>
      <c r="E1184" s="4"/>
      <c r="F1184" s="4"/>
      <c r="G1184" s="4"/>
      <c r="H1184" s="4"/>
      <c r="I1184" s="8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  <row r="1185">
      <c r="A1185" s="82"/>
      <c r="B1185" s="82"/>
      <c r="C1185" s="83"/>
      <c r="D1185" s="4"/>
      <c r="E1185" s="4"/>
      <c r="F1185" s="4"/>
      <c r="G1185" s="4"/>
      <c r="H1185" s="4"/>
      <c r="I1185" s="8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</row>
    <row r="1186">
      <c r="A1186" s="82"/>
      <c r="B1186" s="82"/>
      <c r="C1186" s="83"/>
      <c r="D1186" s="4"/>
      <c r="E1186" s="4"/>
      <c r="F1186" s="4"/>
      <c r="G1186" s="4"/>
      <c r="H1186" s="4"/>
      <c r="I1186" s="8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</row>
    <row r="1187">
      <c r="A1187" s="82"/>
      <c r="B1187" s="82"/>
      <c r="C1187" s="83"/>
      <c r="D1187" s="4"/>
      <c r="E1187" s="4"/>
      <c r="F1187" s="4"/>
      <c r="G1187" s="4"/>
      <c r="H1187" s="4"/>
      <c r="I1187" s="8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</row>
    <row r="1188">
      <c r="A1188" s="82"/>
      <c r="B1188" s="82"/>
      <c r="C1188" s="83"/>
      <c r="D1188" s="4"/>
      <c r="E1188" s="4"/>
      <c r="F1188" s="4"/>
      <c r="G1188" s="4"/>
      <c r="H1188" s="4"/>
      <c r="I1188" s="8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</row>
    <row r="1189">
      <c r="A1189" s="82"/>
      <c r="B1189" s="82"/>
      <c r="C1189" s="83"/>
      <c r="D1189" s="4"/>
      <c r="E1189" s="4"/>
      <c r="F1189" s="4"/>
      <c r="G1189" s="4"/>
      <c r="H1189" s="4"/>
      <c r="I1189" s="8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</row>
    <row r="1190">
      <c r="A1190" s="82"/>
      <c r="B1190" s="82"/>
      <c r="C1190" s="83"/>
      <c r="D1190" s="4"/>
      <c r="E1190" s="4"/>
      <c r="F1190" s="4"/>
      <c r="G1190" s="4"/>
      <c r="H1190" s="4"/>
      <c r="I1190" s="8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>
      <c r="A1191" s="82"/>
      <c r="B1191" s="82"/>
      <c r="C1191" s="83"/>
      <c r="D1191" s="4"/>
      <c r="E1191" s="4"/>
      <c r="F1191" s="4"/>
      <c r="G1191" s="4"/>
      <c r="H1191" s="4"/>
      <c r="I1191" s="8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</row>
    <row r="1192">
      <c r="A1192" s="82"/>
      <c r="B1192" s="82"/>
      <c r="C1192" s="83"/>
      <c r="D1192" s="4"/>
      <c r="E1192" s="4"/>
      <c r="F1192" s="4"/>
      <c r="G1192" s="4"/>
      <c r="H1192" s="4"/>
      <c r="I1192" s="8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</row>
    <row r="1193">
      <c r="A1193" s="82"/>
      <c r="B1193" s="82"/>
      <c r="C1193" s="83"/>
      <c r="D1193" s="4"/>
      <c r="E1193" s="4"/>
      <c r="F1193" s="4"/>
      <c r="G1193" s="4"/>
      <c r="H1193" s="4"/>
      <c r="I1193" s="8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</row>
    <row r="1194">
      <c r="A1194" s="82"/>
      <c r="B1194" s="82"/>
      <c r="C1194" s="83"/>
      <c r="D1194" s="4"/>
      <c r="E1194" s="4"/>
      <c r="F1194" s="4"/>
      <c r="G1194" s="4"/>
      <c r="H1194" s="4"/>
      <c r="I1194" s="8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</row>
    <row r="1195">
      <c r="A1195" s="82"/>
      <c r="B1195" s="82"/>
      <c r="C1195" s="83"/>
      <c r="D1195" s="4"/>
      <c r="E1195" s="4"/>
      <c r="F1195" s="4"/>
      <c r="G1195" s="4"/>
      <c r="H1195" s="4"/>
      <c r="I1195" s="8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</row>
    <row r="1196">
      <c r="A1196" s="82"/>
      <c r="B1196" s="82"/>
      <c r="C1196" s="83"/>
      <c r="D1196" s="4"/>
      <c r="E1196" s="4"/>
      <c r="F1196" s="4"/>
      <c r="G1196" s="4"/>
      <c r="H1196" s="4"/>
      <c r="I1196" s="8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</row>
    <row r="1197">
      <c r="A1197" s="82"/>
      <c r="B1197" s="82"/>
      <c r="C1197" s="83"/>
      <c r="D1197" s="4"/>
      <c r="E1197" s="4"/>
      <c r="F1197" s="4"/>
      <c r="G1197" s="4"/>
      <c r="H1197" s="4"/>
      <c r="I1197" s="8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</row>
    <row r="1198">
      <c r="A1198" s="82"/>
      <c r="B1198" s="82"/>
      <c r="C1198" s="83"/>
      <c r="D1198" s="4"/>
      <c r="E1198" s="4"/>
      <c r="F1198" s="4"/>
      <c r="G1198" s="4"/>
      <c r="H1198" s="4"/>
      <c r="I1198" s="8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</row>
    <row r="1199">
      <c r="A1199" s="82"/>
      <c r="B1199" s="82"/>
      <c r="C1199" s="83"/>
      <c r="D1199" s="4"/>
      <c r="E1199" s="4"/>
      <c r="F1199" s="4"/>
      <c r="G1199" s="4"/>
      <c r="H1199" s="4"/>
      <c r="I1199" s="8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</row>
    <row r="1200">
      <c r="A1200" s="82"/>
      <c r="B1200" s="82"/>
      <c r="C1200" s="83"/>
      <c r="D1200" s="4"/>
      <c r="E1200" s="4"/>
      <c r="F1200" s="4"/>
      <c r="G1200" s="4"/>
      <c r="H1200" s="4"/>
      <c r="I1200" s="8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</row>
    <row r="1201">
      <c r="A1201" s="82"/>
      <c r="B1201" s="82"/>
      <c r="C1201" s="83"/>
      <c r="D1201" s="4"/>
      <c r="E1201" s="4"/>
      <c r="F1201" s="4"/>
      <c r="G1201" s="4"/>
      <c r="H1201" s="4"/>
      <c r="I1201" s="8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</row>
    <row r="1202">
      <c r="A1202" s="82"/>
      <c r="B1202" s="82"/>
      <c r="C1202" s="83"/>
      <c r="D1202" s="4"/>
      <c r="E1202" s="4"/>
      <c r="F1202" s="4"/>
      <c r="G1202" s="4"/>
      <c r="H1202" s="4"/>
      <c r="I1202" s="8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</row>
    <row r="1203">
      <c r="A1203" s="82"/>
      <c r="B1203" s="82"/>
      <c r="C1203" s="83"/>
      <c r="D1203" s="4"/>
      <c r="E1203" s="4"/>
      <c r="F1203" s="4"/>
      <c r="G1203" s="4"/>
      <c r="H1203" s="4"/>
      <c r="I1203" s="8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>
      <c r="A1204" s="82"/>
      <c r="B1204" s="82"/>
      <c r="C1204" s="83"/>
      <c r="D1204" s="4"/>
      <c r="E1204" s="4"/>
      <c r="F1204" s="4"/>
      <c r="G1204" s="4"/>
      <c r="H1204" s="4"/>
      <c r="I1204" s="8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>
      <c r="A1205" s="82"/>
      <c r="B1205" s="82"/>
      <c r="C1205" s="83"/>
      <c r="D1205" s="4"/>
      <c r="E1205" s="4"/>
      <c r="F1205" s="4"/>
      <c r="G1205" s="4"/>
      <c r="H1205" s="4"/>
      <c r="I1205" s="8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</row>
    <row r="1206">
      <c r="A1206" s="82"/>
      <c r="B1206" s="82"/>
      <c r="C1206" s="83"/>
      <c r="D1206" s="4"/>
      <c r="E1206" s="4"/>
      <c r="F1206" s="4"/>
      <c r="G1206" s="4"/>
      <c r="H1206" s="4"/>
      <c r="I1206" s="8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</row>
    <row r="1207">
      <c r="A1207" s="82"/>
      <c r="B1207" s="82"/>
      <c r="C1207" s="83"/>
      <c r="D1207" s="4"/>
      <c r="E1207" s="4"/>
      <c r="F1207" s="4"/>
      <c r="G1207" s="4"/>
      <c r="H1207" s="4"/>
      <c r="I1207" s="8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>
      <c r="A1208" s="82"/>
      <c r="B1208" s="82"/>
      <c r="C1208" s="83"/>
      <c r="D1208" s="4"/>
      <c r="E1208" s="4"/>
      <c r="F1208" s="4"/>
      <c r="G1208" s="4"/>
      <c r="H1208" s="4"/>
      <c r="I1208" s="8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>
      <c r="A1209" s="82"/>
      <c r="B1209" s="82"/>
      <c r="C1209" s="83"/>
      <c r="D1209" s="4"/>
      <c r="E1209" s="4"/>
      <c r="F1209" s="4"/>
      <c r="G1209" s="4"/>
      <c r="H1209" s="4"/>
      <c r="I1209" s="8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>
      <c r="A1210" s="82"/>
      <c r="B1210" s="82"/>
      <c r="C1210" s="83"/>
      <c r="D1210" s="4"/>
      <c r="E1210" s="4"/>
      <c r="F1210" s="4"/>
      <c r="G1210" s="4"/>
      <c r="H1210" s="4"/>
      <c r="I1210" s="8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>
      <c r="A1211" s="82"/>
      <c r="B1211" s="82"/>
      <c r="C1211" s="83"/>
      <c r="D1211" s="4"/>
      <c r="E1211" s="4"/>
      <c r="F1211" s="4"/>
      <c r="G1211" s="4"/>
      <c r="H1211" s="4"/>
      <c r="I1211" s="8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</row>
    <row r="1212">
      <c r="A1212" s="82"/>
      <c r="B1212" s="82"/>
      <c r="C1212" s="83"/>
      <c r="D1212" s="4"/>
      <c r="E1212" s="4"/>
      <c r="F1212" s="4"/>
      <c r="G1212" s="4"/>
      <c r="H1212" s="4"/>
      <c r="I1212" s="8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>
      <c r="A1213" s="82"/>
      <c r="B1213" s="82"/>
      <c r="C1213" s="83"/>
      <c r="D1213" s="4"/>
      <c r="E1213" s="4"/>
      <c r="F1213" s="4"/>
      <c r="G1213" s="4"/>
      <c r="H1213" s="4"/>
      <c r="I1213" s="8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</row>
    <row r="1214">
      <c r="A1214" s="82"/>
      <c r="B1214" s="82"/>
      <c r="C1214" s="83"/>
      <c r="D1214" s="4"/>
      <c r="E1214" s="4"/>
      <c r="F1214" s="4"/>
      <c r="G1214" s="4"/>
      <c r="H1214" s="4"/>
      <c r="I1214" s="8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</row>
    <row r="1215">
      <c r="A1215" s="82"/>
      <c r="B1215" s="82"/>
      <c r="C1215" s="83"/>
      <c r="D1215" s="4"/>
      <c r="E1215" s="4"/>
      <c r="F1215" s="4"/>
      <c r="G1215" s="4"/>
      <c r="H1215" s="4"/>
      <c r="I1215" s="8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</row>
    <row r="1216">
      <c r="A1216" s="82"/>
      <c r="B1216" s="82"/>
      <c r="C1216" s="83"/>
      <c r="D1216" s="4"/>
      <c r="E1216" s="4"/>
      <c r="F1216" s="4"/>
      <c r="G1216" s="4"/>
      <c r="H1216" s="4"/>
      <c r="I1216" s="8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>
      <c r="A1217" s="82"/>
      <c r="B1217" s="82"/>
      <c r="C1217" s="83"/>
      <c r="D1217" s="4"/>
      <c r="E1217" s="4"/>
      <c r="F1217" s="4"/>
      <c r="G1217" s="4"/>
      <c r="H1217" s="4"/>
      <c r="I1217" s="8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</row>
    <row r="1218">
      <c r="A1218" s="82"/>
      <c r="B1218" s="82"/>
      <c r="C1218" s="83"/>
      <c r="D1218" s="4"/>
      <c r="E1218" s="4"/>
      <c r="F1218" s="4"/>
      <c r="G1218" s="4"/>
      <c r="H1218" s="4"/>
      <c r="I1218" s="8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>
      <c r="A1219" s="82"/>
      <c r="B1219" s="82"/>
      <c r="C1219" s="83"/>
      <c r="D1219" s="4"/>
      <c r="E1219" s="4"/>
      <c r="F1219" s="4"/>
      <c r="G1219" s="4"/>
      <c r="H1219" s="4"/>
      <c r="I1219" s="8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>
      <c r="A1220" s="82"/>
      <c r="B1220" s="82"/>
      <c r="C1220" s="83"/>
      <c r="D1220" s="4"/>
      <c r="E1220" s="4"/>
      <c r="F1220" s="4"/>
      <c r="G1220" s="4"/>
      <c r="H1220" s="4"/>
      <c r="I1220" s="8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>
      <c r="A1221" s="82"/>
      <c r="B1221" s="82"/>
      <c r="C1221" s="83"/>
      <c r="D1221" s="4"/>
      <c r="E1221" s="4"/>
      <c r="F1221" s="4"/>
      <c r="G1221" s="4"/>
      <c r="H1221" s="4"/>
      <c r="I1221" s="8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>
      <c r="A1222" s="82"/>
      <c r="B1222" s="82"/>
      <c r="C1222" s="83"/>
      <c r="D1222" s="4"/>
      <c r="E1222" s="4"/>
      <c r="F1222" s="4"/>
      <c r="G1222" s="4"/>
      <c r="H1222" s="4"/>
      <c r="I1222" s="8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>
      <c r="A1223" s="82"/>
      <c r="B1223" s="82"/>
      <c r="C1223" s="83"/>
      <c r="D1223" s="4"/>
      <c r="E1223" s="4"/>
      <c r="F1223" s="4"/>
      <c r="G1223" s="4"/>
      <c r="H1223" s="4"/>
      <c r="I1223" s="8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>
      <c r="A1224" s="82"/>
      <c r="B1224" s="82"/>
      <c r="C1224" s="83"/>
      <c r="D1224" s="4"/>
      <c r="E1224" s="4"/>
      <c r="F1224" s="4"/>
      <c r="G1224" s="4"/>
      <c r="H1224" s="4"/>
      <c r="I1224" s="8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>
      <c r="A1225" s="82"/>
      <c r="B1225" s="82"/>
      <c r="C1225" s="83"/>
      <c r="D1225" s="4"/>
      <c r="E1225" s="4"/>
      <c r="F1225" s="4"/>
      <c r="G1225" s="4"/>
      <c r="H1225" s="4"/>
      <c r="I1225" s="8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>
      <c r="A1226" s="82"/>
      <c r="B1226" s="82"/>
      <c r="C1226" s="83"/>
      <c r="D1226" s="4"/>
      <c r="E1226" s="4"/>
      <c r="F1226" s="4"/>
      <c r="G1226" s="4"/>
      <c r="H1226" s="4"/>
      <c r="I1226" s="8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>
      <c r="A1227" s="82"/>
      <c r="B1227" s="82"/>
      <c r="C1227" s="83"/>
      <c r="D1227" s="4"/>
      <c r="E1227" s="4"/>
      <c r="F1227" s="4"/>
      <c r="G1227" s="4"/>
      <c r="H1227" s="4"/>
      <c r="I1227" s="8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>
      <c r="A1228" s="82"/>
      <c r="B1228" s="82"/>
      <c r="C1228" s="83"/>
      <c r="D1228" s="4"/>
      <c r="E1228" s="4"/>
      <c r="F1228" s="4"/>
      <c r="G1228" s="4"/>
      <c r="H1228" s="4"/>
      <c r="I1228" s="8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</row>
    <row r="1229">
      <c r="A1229" s="82"/>
      <c r="B1229" s="82"/>
      <c r="C1229" s="83"/>
      <c r="D1229" s="4"/>
      <c r="E1229" s="4"/>
      <c r="F1229" s="4"/>
      <c r="G1229" s="4"/>
      <c r="H1229" s="4"/>
      <c r="I1229" s="8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</row>
    <row r="1230">
      <c r="A1230" s="82"/>
      <c r="B1230" s="82"/>
      <c r="C1230" s="83"/>
      <c r="D1230" s="4"/>
      <c r="E1230" s="4"/>
      <c r="F1230" s="4"/>
      <c r="G1230" s="4"/>
      <c r="H1230" s="4"/>
      <c r="I1230" s="8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</row>
    <row r="1231">
      <c r="A1231" s="82"/>
      <c r="B1231" s="82"/>
      <c r="C1231" s="83"/>
      <c r="D1231" s="4"/>
      <c r="E1231" s="4"/>
      <c r="F1231" s="4"/>
      <c r="G1231" s="4"/>
      <c r="H1231" s="4"/>
      <c r="I1231" s="8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</row>
    <row r="1232">
      <c r="A1232" s="82"/>
      <c r="B1232" s="82"/>
      <c r="C1232" s="83"/>
      <c r="D1232" s="4"/>
      <c r="E1232" s="4"/>
      <c r="F1232" s="4"/>
      <c r="G1232" s="4"/>
      <c r="H1232" s="4"/>
      <c r="I1232" s="8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</row>
    <row r="1233">
      <c r="A1233" s="82"/>
      <c r="B1233" s="82"/>
      <c r="C1233" s="83"/>
      <c r="D1233" s="4"/>
      <c r="E1233" s="4"/>
      <c r="F1233" s="4"/>
      <c r="G1233" s="4"/>
      <c r="H1233" s="4"/>
      <c r="I1233" s="8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</row>
    <row r="1234">
      <c r="A1234" s="82"/>
      <c r="B1234" s="82"/>
      <c r="C1234" s="83"/>
      <c r="D1234" s="4"/>
      <c r="E1234" s="4"/>
      <c r="F1234" s="4"/>
      <c r="G1234" s="4"/>
      <c r="H1234" s="4"/>
      <c r="I1234" s="8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>
      <c r="A1235" s="82"/>
      <c r="B1235" s="82"/>
      <c r="C1235" s="83"/>
      <c r="D1235" s="4"/>
      <c r="E1235" s="4"/>
      <c r="F1235" s="4"/>
      <c r="G1235" s="4"/>
      <c r="H1235" s="4"/>
      <c r="I1235" s="8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</row>
    <row r="1236">
      <c r="A1236" s="82"/>
      <c r="B1236" s="82"/>
      <c r="C1236" s="83"/>
      <c r="D1236" s="4"/>
      <c r="E1236" s="4"/>
      <c r="F1236" s="4"/>
      <c r="G1236" s="4"/>
      <c r="H1236" s="4"/>
      <c r="I1236" s="8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</row>
    <row r="1237">
      <c r="A1237" s="82"/>
      <c r="B1237" s="82"/>
      <c r="C1237" s="83"/>
      <c r="D1237" s="4"/>
      <c r="E1237" s="4"/>
      <c r="F1237" s="4"/>
      <c r="G1237" s="4"/>
      <c r="H1237" s="4"/>
      <c r="I1237" s="8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</row>
    <row r="1238">
      <c r="A1238" s="82"/>
      <c r="B1238" s="82"/>
      <c r="C1238" s="83"/>
      <c r="D1238" s="4"/>
      <c r="E1238" s="4"/>
      <c r="F1238" s="4"/>
      <c r="G1238" s="4"/>
      <c r="H1238" s="4"/>
      <c r="I1238" s="8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</row>
    <row r="1239">
      <c r="A1239" s="82"/>
      <c r="B1239" s="82"/>
      <c r="C1239" s="83"/>
      <c r="D1239" s="4"/>
      <c r="E1239" s="4"/>
      <c r="F1239" s="4"/>
      <c r="G1239" s="4"/>
      <c r="H1239" s="4"/>
      <c r="I1239" s="8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</row>
    <row r="1240">
      <c r="A1240" s="82"/>
      <c r="B1240" s="82"/>
      <c r="C1240" s="83"/>
      <c r="D1240" s="4"/>
      <c r="E1240" s="4"/>
      <c r="F1240" s="4"/>
      <c r="G1240" s="4"/>
      <c r="H1240" s="4"/>
      <c r="I1240" s="8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</row>
    <row r="1241">
      <c r="A1241" s="82"/>
      <c r="B1241" s="82"/>
      <c r="C1241" s="83"/>
      <c r="D1241" s="4"/>
      <c r="E1241" s="4"/>
      <c r="F1241" s="4"/>
      <c r="G1241" s="4"/>
      <c r="H1241" s="4"/>
      <c r="I1241" s="8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</row>
    <row r="1242">
      <c r="A1242" s="82"/>
      <c r="B1242" s="82"/>
      <c r="C1242" s="83"/>
      <c r="D1242" s="4"/>
      <c r="E1242" s="4"/>
      <c r="F1242" s="4"/>
      <c r="G1242" s="4"/>
      <c r="H1242" s="4"/>
      <c r="I1242" s="8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</row>
    <row r="1243">
      <c r="A1243" s="82"/>
      <c r="B1243" s="82"/>
      <c r="C1243" s="83"/>
      <c r="D1243" s="4"/>
      <c r="E1243" s="4"/>
      <c r="F1243" s="4"/>
      <c r="G1243" s="4"/>
      <c r="H1243" s="4"/>
      <c r="I1243" s="8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</row>
    <row r="1244">
      <c r="A1244" s="82"/>
      <c r="B1244" s="82"/>
      <c r="C1244" s="83"/>
      <c r="D1244" s="4"/>
      <c r="E1244" s="4"/>
      <c r="F1244" s="4"/>
      <c r="G1244" s="4"/>
      <c r="H1244" s="4"/>
      <c r="I1244" s="8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</row>
    <row r="1245">
      <c r="A1245" s="82"/>
      <c r="B1245" s="82"/>
      <c r="C1245" s="83"/>
      <c r="D1245" s="4"/>
      <c r="E1245" s="4"/>
      <c r="F1245" s="4"/>
      <c r="G1245" s="4"/>
      <c r="H1245" s="4"/>
      <c r="I1245" s="8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</row>
    <row r="1246">
      <c r="A1246" s="82"/>
      <c r="B1246" s="82"/>
      <c r="C1246" s="83"/>
      <c r="D1246" s="4"/>
      <c r="E1246" s="4"/>
      <c r="F1246" s="4"/>
      <c r="G1246" s="4"/>
      <c r="H1246" s="4"/>
      <c r="I1246" s="8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</row>
    <row r="1247">
      <c r="A1247" s="82"/>
      <c r="B1247" s="82"/>
      <c r="C1247" s="83"/>
      <c r="D1247" s="4"/>
      <c r="E1247" s="4"/>
      <c r="F1247" s="4"/>
      <c r="G1247" s="4"/>
      <c r="H1247" s="4"/>
      <c r="I1247" s="8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</row>
    <row r="1248">
      <c r="A1248" s="82"/>
      <c r="B1248" s="82"/>
      <c r="C1248" s="83"/>
      <c r="D1248" s="4"/>
      <c r="E1248" s="4"/>
      <c r="F1248" s="4"/>
      <c r="G1248" s="4"/>
      <c r="H1248" s="4"/>
      <c r="I1248" s="8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</row>
    <row r="1249">
      <c r="A1249" s="82"/>
      <c r="B1249" s="82"/>
      <c r="C1249" s="83"/>
      <c r="D1249" s="4"/>
      <c r="E1249" s="4"/>
      <c r="F1249" s="4"/>
      <c r="G1249" s="4"/>
      <c r="H1249" s="4"/>
      <c r="I1249" s="8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</row>
    <row r="1250">
      <c r="A1250" s="82"/>
      <c r="B1250" s="82"/>
      <c r="C1250" s="83"/>
      <c r="D1250" s="4"/>
      <c r="E1250" s="4"/>
      <c r="F1250" s="4"/>
      <c r="G1250" s="4"/>
      <c r="H1250" s="4"/>
      <c r="I1250" s="8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</row>
    <row r="1251">
      <c r="A1251" s="82"/>
      <c r="B1251" s="82"/>
      <c r="C1251" s="83"/>
      <c r="D1251" s="4"/>
      <c r="E1251" s="4"/>
      <c r="F1251" s="4"/>
      <c r="G1251" s="4"/>
      <c r="H1251" s="4"/>
      <c r="I1251" s="8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</row>
    <row r="1252">
      <c r="A1252" s="82"/>
      <c r="B1252" s="82"/>
      <c r="C1252" s="83"/>
      <c r="D1252" s="4"/>
      <c r="E1252" s="4"/>
      <c r="F1252" s="4"/>
      <c r="G1252" s="4"/>
      <c r="H1252" s="4"/>
      <c r="I1252" s="8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</row>
  </sheetData>
  <mergeCells count="4">
    <mergeCell ref="A2:A96"/>
    <mergeCell ref="K2:K6"/>
    <mergeCell ref="K7:K14"/>
    <mergeCell ref="A97:A2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5" t="s">
        <v>1</v>
      </c>
      <c r="B1" s="85" t="s">
        <v>32</v>
      </c>
      <c r="C1" s="2"/>
    </row>
    <row r="2">
      <c r="A2" s="86">
        <v>22647.0</v>
      </c>
      <c r="B2" s="87">
        <v>589.0</v>
      </c>
    </row>
    <row r="3">
      <c r="A3" s="86">
        <v>22678.0</v>
      </c>
      <c r="B3" s="87">
        <v>561.0</v>
      </c>
    </row>
    <row r="4">
      <c r="A4" s="86">
        <v>22706.0</v>
      </c>
      <c r="B4" s="87">
        <v>640.0</v>
      </c>
    </row>
    <row r="5">
      <c r="A5" s="86">
        <v>22737.0</v>
      </c>
      <c r="B5" s="87">
        <v>656.0</v>
      </c>
    </row>
    <row r="6">
      <c r="A6" s="86">
        <v>22767.0</v>
      </c>
      <c r="B6" s="87">
        <v>727.0</v>
      </c>
    </row>
    <row r="7">
      <c r="A7" s="86">
        <v>22798.0</v>
      </c>
      <c r="B7" s="87">
        <v>697.0</v>
      </c>
    </row>
    <row r="8">
      <c r="A8" s="86">
        <v>22828.0</v>
      </c>
      <c r="B8" s="87">
        <v>640.0</v>
      </c>
    </row>
    <row r="9">
      <c r="A9" s="86">
        <v>22859.0</v>
      </c>
      <c r="B9" s="87">
        <v>599.0</v>
      </c>
    </row>
    <row r="10">
      <c r="A10" s="86">
        <v>22890.0</v>
      </c>
      <c r="B10" s="87">
        <v>568.0</v>
      </c>
    </row>
    <row r="11">
      <c r="A11" s="88">
        <v>22920.0</v>
      </c>
      <c r="B11" s="87">
        <v>577.0</v>
      </c>
    </row>
    <row r="12">
      <c r="A12" s="88">
        <v>22951.0</v>
      </c>
      <c r="B12" s="87">
        <v>553.0</v>
      </c>
    </row>
    <row r="13">
      <c r="A13" s="88">
        <v>22981.0</v>
      </c>
      <c r="B13" s="87">
        <v>582.0</v>
      </c>
    </row>
    <row r="14">
      <c r="A14" s="86">
        <v>23012.0</v>
      </c>
      <c r="B14" s="87">
        <v>600.0</v>
      </c>
    </row>
    <row r="15">
      <c r="A15" s="86">
        <v>23043.0</v>
      </c>
      <c r="B15" s="87">
        <v>566.0</v>
      </c>
    </row>
    <row r="16">
      <c r="A16" s="86">
        <v>23071.0</v>
      </c>
      <c r="B16" s="87">
        <v>653.0</v>
      </c>
    </row>
    <row r="17">
      <c r="A17" s="86">
        <v>23102.0</v>
      </c>
      <c r="B17" s="87">
        <v>673.0</v>
      </c>
    </row>
    <row r="18">
      <c r="A18" s="86">
        <v>23132.0</v>
      </c>
      <c r="B18" s="87">
        <v>742.0</v>
      </c>
    </row>
    <row r="19">
      <c r="A19" s="86">
        <v>23163.0</v>
      </c>
      <c r="B19" s="87">
        <v>716.0</v>
      </c>
    </row>
    <row r="20">
      <c r="A20" s="86">
        <v>23193.0</v>
      </c>
      <c r="B20" s="87">
        <v>660.0</v>
      </c>
    </row>
    <row r="21">
      <c r="A21" s="86">
        <v>23224.0</v>
      </c>
      <c r="B21" s="87">
        <v>617.0</v>
      </c>
    </row>
    <row r="22">
      <c r="A22" s="86">
        <v>23255.0</v>
      </c>
      <c r="B22" s="87">
        <v>583.0</v>
      </c>
    </row>
    <row r="23">
      <c r="A23" s="88">
        <v>23285.0</v>
      </c>
      <c r="B23" s="87">
        <v>587.0</v>
      </c>
    </row>
    <row r="24">
      <c r="A24" s="88">
        <v>23316.0</v>
      </c>
      <c r="B24" s="87">
        <v>565.0</v>
      </c>
    </row>
    <row r="25">
      <c r="A25" s="88">
        <v>23346.0</v>
      </c>
      <c r="B25" s="87">
        <v>598.0</v>
      </c>
    </row>
    <row r="26">
      <c r="A26" s="86">
        <v>23377.0</v>
      </c>
      <c r="B26" s="87">
        <v>628.0</v>
      </c>
    </row>
    <row r="27">
      <c r="A27" s="86">
        <v>23408.0</v>
      </c>
      <c r="B27" s="87">
        <v>618.0</v>
      </c>
    </row>
    <row r="28">
      <c r="A28" s="86">
        <v>23437.0</v>
      </c>
      <c r="B28" s="87">
        <v>688.0</v>
      </c>
    </row>
    <row r="29">
      <c r="A29" s="86">
        <v>23468.0</v>
      </c>
      <c r="B29" s="87">
        <v>705.0</v>
      </c>
    </row>
    <row r="30">
      <c r="A30" s="86">
        <v>23498.0</v>
      </c>
      <c r="B30" s="87">
        <v>770.0</v>
      </c>
    </row>
    <row r="31">
      <c r="A31" s="86">
        <v>23529.0</v>
      </c>
      <c r="B31" s="87">
        <v>736.0</v>
      </c>
    </row>
    <row r="32">
      <c r="A32" s="86">
        <v>23559.0</v>
      </c>
      <c r="B32" s="87">
        <v>678.0</v>
      </c>
    </row>
    <row r="33">
      <c r="A33" s="86">
        <v>23590.0</v>
      </c>
      <c r="B33" s="87">
        <v>639.0</v>
      </c>
    </row>
    <row r="34">
      <c r="A34" s="86">
        <v>23621.0</v>
      </c>
      <c r="B34" s="87">
        <v>604.0</v>
      </c>
    </row>
    <row r="35">
      <c r="A35" s="88">
        <v>23651.0</v>
      </c>
      <c r="B35" s="87">
        <v>611.0</v>
      </c>
    </row>
    <row r="36">
      <c r="A36" s="88">
        <v>23682.0</v>
      </c>
      <c r="B36" s="87">
        <v>594.0</v>
      </c>
    </row>
    <row r="37">
      <c r="A37" s="88">
        <v>23712.0</v>
      </c>
      <c r="B37" s="87">
        <v>634.0</v>
      </c>
    </row>
    <row r="38">
      <c r="A38" s="86">
        <v>23743.0</v>
      </c>
      <c r="B38" s="87">
        <v>658.0</v>
      </c>
    </row>
    <row r="39">
      <c r="A39" s="86">
        <v>23774.0</v>
      </c>
      <c r="B39" s="87">
        <v>622.0</v>
      </c>
    </row>
    <row r="40">
      <c r="A40" s="86">
        <v>23802.0</v>
      </c>
      <c r="B40" s="87">
        <v>709.0</v>
      </c>
    </row>
    <row r="41">
      <c r="A41" s="86">
        <v>23833.0</v>
      </c>
      <c r="B41" s="87">
        <v>722.0</v>
      </c>
    </row>
    <row r="42">
      <c r="A42" s="86">
        <v>23863.0</v>
      </c>
      <c r="B42" s="87">
        <v>782.0</v>
      </c>
    </row>
    <row r="43">
      <c r="A43" s="86">
        <v>23894.0</v>
      </c>
      <c r="B43" s="87">
        <v>756.0</v>
      </c>
    </row>
    <row r="44">
      <c r="A44" s="86">
        <v>23924.0</v>
      </c>
      <c r="B44" s="87">
        <v>702.0</v>
      </c>
    </row>
    <row r="45">
      <c r="A45" s="86">
        <v>23955.0</v>
      </c>
      <c r="B45" s="87">
        <v>653.0</v>
      </c>
    </row>
    <row r="46">
      <c r="A46" s="86">
        <v>23986.0</v>
      </c>
      <c r="B46" s="87">
        <v>615.0</v>
      </c>
    </row>
    <row r="47">
      <c r="A47" s="88">
        <v>24016.0</v>
      </c>
      <c r="B47" s="87">
        <v>621.0</v>
      </c>
    </row>
    <row r="48">
      <c r="A48" s="88">
        <v>24047.0</v>
      </c>
      <c r="B48" s="87">
        <v>602.0</v>
      </c>
    </row>
    <row r="49">
      <c r="A49" s="88">
        <v>24077.0</v>
      </c>
      <c r="B49" s="87">
        <v>635.0</v>
      </c>
    </row>
    <row r="50">
      <c r="A50" s="86">
        <v>24108.0</v>
      </c>
      <c r="B50" s="87">
        <v>677.0</v>
      </c>
    </row>
    <row r="51">
      <c r="A51" s="86">
        <v>24139.0</v>
      </c>
      <c r="B51" s="87">
        <v>635.0</v>
      </c>
    </row>
    <row r="52">
      <c r="A52" s="86">
        <v>24167.0</v>
      </c>
      <c r="B52" s="87">
        <v>736.0</v>
      </c>
    </row>
    <row r="53">
      <c r="A53" s="86">
        <v>24198.0</v>
      </c>
      <c r="B53" s="87">
        <v>755.0</v>
      </c>
    </row>
    <row r="54">
      <c r="A54" s="86">
        <v>24228.0</v>
      </c>
      <c r="B54" s="87">
        <v>811.0</v>
      </c>
    </row>
    <row r="55">
      <c r="A55" s="86">
        <v>24259.0</v>
      </c>
      <c r="B55" s="87">
        <v>798.0</v>
      </c>
    </row>
    <row r="56">
      <c r="A56" s="86">
        <v>24289.0</v>
      </c>
      <c r="B56" s="87">
        <v>735.0</v>
      </c>
    </row>
    <row r="57">
      <c r="A57" s="86">
        <v>24320.0</v>
      </c>
      <c r="B57" s="87">
        <v>697.0</v>
      </c>
    </row>
    <row r="58">
      <c r="A58" s="86">
        <v>24351.0</v>
      </c>
      <c r="B58" s="87">
        <v>661.0</v>
      </c>
    </row>
    <row r="59">
      <c r="A59" s="88">
        <v>24381.0</v>
      </c>
      <c r="B59" s="87">
        <v>667.0</v>
      </c>
    </row>
    <row r="60">
      <c r="A60" s="88">
        <v>24412.0</v>
      </c>
      <c r="B60" s="87">
        <v>645.0</v>
      </c>
    </row>
    <row r="61">
      <c r="A61" s="88">
        <v>24442.0</v>
      </c>
      <c r="B61" s="87">
        <v>688.0</v>
      </c>
    </row>
    <row r="62">
      <c r="A62" s="86">
        <v>24473.0</v>
      </c>
      <c r="B62" s="87">
        <v>713.0</v>
      </c>
    </row>
    <row r="63">
      <c r="A63" s="86">
        <v>24504.0</v>
      </c>
      <c r="B63" s="87">
        <v>667.0</v>
      </c>
    </row>
    <row r="64">
      <c r="A64" s="86">
        <v>24532.0</v>
      </c>
      <c r="B64" s="87">
        <v>762.0</v>
      </c>
    </row>
    <row r="65">
      <c r="A65" s="86">
        <v>24563.0</v>
      </c>
      <c r="B65" s="87">
        <v>784.0</v>
      </c>
    </row>
    <row r="66">
      <c r="A66" s="86">
        <v>24593.0</v>
      </c>
      <c r="B66" s="87">
        <v>837.0</v>
      </c>
    </row>
    <row r="67">
      <c r="A67" s="86">
        <v>24624.0</v>
      </c>
      <c r="B67" s="87">
        <v>817.0</v>
      </c>
    </row>
    <row r="68">
      <c r="A68" s="86">
        <v>24654.0</v>
      </c>
      <c r="B68" s="87">
        <v>767.0</v>
      </c>
    </row>
    <row r="69">
      <c r="A69" s="86">
        <v>24685.0</v>
      </c>
      <c r="B69" s="87">
        <v>722.0</v>
      </c>
    </row>
    <row r="70">
      <c r="A70" s="86">
        <v>24716.0</v>
      </c>
      <c r="B70" s="87">
        <v>681.0</v>
      </c>
    </row>
    <row r="71">
      <c r="A71" s="88">
        <v>24746.0</v>
      </c>
      <c r="B71" s="87">
        <v>687.0</v>
      </c>
    </row>
    <row r="72">
      <c r="A72" s="88">
        <v>24777.0</v>
      </c>
      <c r="B72" s="87">
        <v>660.0</v>
      </c>
    </row>
    <row r="73">
      <c r="A73" s="88">
        <v>24807.0</v>
      </c>
      <c r="B73" s="87">
        <v>698.0</v>
      </c>
    </row>
    <row r="74">
      <c r="A74" s="86">
        <v>24838.0</v>
      </c>
      <c r="B74" s="87">
        <v>717.0</v>
      </c>
    </row>
    <row r="75">
      <c r="A75" s="86">
        <v>24869.0</v>
      </c>
      <c r="B75" s="87">
        <v>696.0</v>
      </c>
    </row>
    <row r="76">
      <c r="A76" s="86">
        <v>24898.0</v>
      </c>
      <c r="B76" s="87">
        <v>775.0</v>
      </c>
    </row>
    <row r="77">
      <c r="A77" s="86">
        <v>24929.0</v>
      </c>
      <c r="B77" s="87">
        <v>796.0</v>
      </c>
    </row>
    <row r="78">
      <c r="A78" s="86">
        <v>24959.0</v>
      </c>
      <c r="B78" s="87">
        <v>858.0</v>
      </c>
    </row>
    <row r="79">
      <c r="A79" s="86">
        <v>24990.0</v>
      </c>
      <c r="B79" s="87">
        <v>826.0</v>
      </c>
    </row>
    <row r="80">
      <c r="A80" s="86">
        <v>25020.0</v>
      </c>
      <c r="B80" s="87">
        <v>783.0</v>
      </c>
    </row>
    <row r="81">
      <c r="A81" s="86">
        <v>25051.0</v>
      </c>
      <c r="B81" s="87">
        <v>740.0</v>
      </c>
    </row>
    <row r="82">
      <c r="A82" s="86">
        <v>25082.0</v>
      </c>
      <c r="B82" s="87">
        <v>701.0</v>
      </c>
    </row>
    <row r="83">
      <c r="A83" s="88">
        <v>25112.0</v>
      </c>
      <c r="B83" s="87">
        <v>706.0</v>
      </c>
    </row>
    <row r="84">
      <c r="A84" s="88">
        <v>25143.0</v>
      </c>
      <c r="B84" s="87">
        <v>677.0</v>
      </c>
    </row>
    <row r="85">
      <c r="A85" s="88">
        <v>25173.0</v>
      </c>
      <c r="B85" s="87">
        <v>711.0</v>
      </c>
    </row>
    <row r="86">
      <c r="A86" s="86">
        <v>25204.0</v>
      </c>
      <c r="B86" s="87">
        <v>734.0</v>
      </c>
    </row>
    <row r="87">
      <c r="A87" s="86">
        <v>25235.0</v>
      </c>
      <c r="B87" s="87">
        <v>690.0</v>
      </c>
    </row>
    <row r="88">
      <c r="A88" s="86">
        <v>25263.0</v>
      </c>
      <c r="B88" s="87">
        <v>785.0</v>
      </c>
    </row>
    <row r="89">
      <c r="A89" s="86">
        <v>25294.0</v>
      </c>
      <c r="B89" s="87">
        <v>805.0</v>
      </c>
    </row>
    <row r="90">
      <c r="A90" s="86">
        <v>25324.0</v>
      </c>
      <c r="B90" s="87">
        <v>871.0</v>
      </c>
    </row>
    <row r="91">
      <c r="A91" s="86">
        <v>25355.0</v>
      </c>
      <c r="B91" s="87">
        <v>845.0</v>
      </c>
    </row>
    <row r="92">
      <c r="A92" s="86">
        <v>25385.0</v>
      </c>
      <c r="B92" s="87">
        <v>801.0</v>
      </c>
    </row>
    <row r="93">
      <c r="A93" s="86">
        <v>25416.0</v>
      </c>
      <c r="B93" s="87">
        <v>764.0</v>
      </c>
    </row>
    <row r="94">
      <c r="A94" s="86">
        <v>25447.0</v>
      </c>
      <c r="B94" s="87">
        <v>725.0</v>
      </c>
    </row>
    <row r="95">
      <c r="A95" s="88">
        <v>25477.0</v>
      </c>
      <c r="B95" s="87">
        <v>723.0</v>
      </c>
    </row>
    <row r="96">
      <c r="A96" s="88">
        <v>25508.0</v>
      </c>
      <c r="B96" s="87">
        <v>690.0</v>
      </c>
    </row>
    <row r="97">
      <c r="A97" s="88">
        <v>25538.0</v>
      </c>
      <c r="B97" s="87">
        <v>734.0</v>
      </c>
    </row>
    <row r="98">
      <c r="A98" s="86">
        <v>25569.0</v>
      </c>
      <c r="B98" s="87">
        <v>750.0</v>
      </c>
    </row>
    <row r="99">
      <c r="A99" s="86">
        <v>25600.0</v>
      </c>
      <c r="B99" s="87">
        <v>707.0</v>
      </c>
    </row>
    <row r="100">
      <c r="A100" s="86">
        <v>25628.0</v>
      </c>
      <c r="B100" s="87">
        <v>807.0</v>
      </c>
    </row>
    <row r="101">
      <c r="A101" s="86">
        <v>25659.0</v>
      </c>
      <c r="B101" s="87">
        <v>824.0</v>
      </c>
    </row>
    <row r="102">
      <c r="A102" s="86">
        <v>25689.0</v>
      </c>
      <c r="B102" s="87">
        <v>886.0</v>
      </c>
    </row>
    <row r="103">
      <c r="A103" s="86">
        <v>25720.0</v>
      </c>
      <c r="B103" s="87">
        <v>859.0</v>
      </c>
    </row>
    <row r="104">
      <c r="A104" s="86">
        <v>25750.0</v>
      </c>
      <c r="B104" s="87">
        <v>819.0</v>
      </c>
    </row>
    <row r="105">
      <c r="A105" s="86">
        <v>25781.0</v>
      </c>
      <c r="B105" s="87">
        <v>783.0</v>
      </c>
    </row>
    <row r="106">
      <c r="A106" s="86">
        <v>25812.0</v>
      </c>
      <c r="B106" s="87">
        <v>740.0</v>
      </c>
    </row>
    <row r="107">
      <c r="A107" s="88">
        <v>25842.0</v>
      </c>
      <c r="B107" s="87">
        <v>747.0</v>
      </c>
    </row>
    <row r="108">
      <c r="A108" s="88">
        <v>25873.0</v>
      </c>
      <c r="B108" s="87">
        <v>711.0</v>
      </c>
    </row>
    <row r="109">
      <c r="A109" s="88">
        <v>25903.0</v>
      </c>
      <c r="B109" s="87">
        <v>751.0</v>
      </c>
    </row>
    <row r="110">
      <c r="A110" s="86">
        <v>25934.0</v>
      </c>
      <c r="B110" s="87">
        <v>804.0</v>
      </c>
    </row>
    <row r="111">
      <c r="A111" s="86">
        <v>25965.0</v>
      </c>
      <c r="B111" s="87">
        <v>756.0</v>
      </c>
    </row>
    <row r="112">
      <c r="A112" s="86">
        <v>25993.0</v>
      </c>
      <c r="B112" s="87">
        <v>860.0</v>
      </c>
    </row>
    <row r="113">
      <c r="A113" s="86">
        <v>26024.0</v>
      </c>
      <c r="B113" s="87">
        <v>878.0</v>
      </c>
    </row>
    <row r="114">
      <c r="A114" s="86">
        <v>26054.0</v>
      </c>
      <c r="B114" s="87">
        <v>942.0</v>
      </c>
    </row>
    <row r="115">
      <c r="A115" s="86">
        <v>26085.0</v>
      </c>
      <c r="B115" s="87">
        <v>913.0</v>
      </c>
    </row>
    <row r="116">
      <c r="A116" s="86">
        <v>26115.0</v>
      </c>
      <c r="B116" s="87">
        <v>869.0</v>
      </c>
    </row>
    <row r="117">
      <c r="A117" s="86">
        <v>26146.0</v>
      </c>
      <c r="B117" s="87">
        <v>834.0</v>
      </c>
    </row>
    <row r="118">
      <c r="A118" s="86">
        <v>26177.0</v>
      </c>
      <c r="B118" s="87">
        <v>790.0</v>
      </c>
    </row>
    <row r="119">
      <c r="A119" s="88">
        <v>26207.0</v>
      </c>
      <c r="B119" s="87">
        <v>800.0</v>
      </c>
    </row>
    <row r="120">
      <c r="A120" s="88">
        <v>26238.0</v>
      </c>
      <c r="B120" s="87">
        <v>763.0</v>
      </c>
    </row>
    <row r="121">
      <c r="A121" s="88">
        <v>26268.0</v>
      </c>
      <c r="B121" s="87">
        <v>800.0</v>
      </c>
    </row>
    <row r="122">
      <c r="A122" s="86">
        <v>26299.0</v>
      </c>
      <c r="B122" s="87">
        <v>826.0</v>
      </c>
    </row>
    <row r="123">
      <c r="A123" s="86">
        <v>26330.0</v>
      </c>
      <c r="B123" s="87">
        <v>799.0</v>
      </c>
    </row>
    <row r="124">
      <c r="A124" s="86">
        <v>26359.0</v>
      </c>
      <c r="B124" s="87">
        <v>890.0</v>
      </c>
    </row>
    <row r="125">
      <c r="A125" s="86">
        <v>26390.0</v>
      </c>
      <c r="B125" s="87">
        <v>900.0</v>
      </c>
    </row>
    <row r="126">
      <c r="A126" s="86">
        <v>26420.0</v>
      </c>
      <c r="B126" s="87">
        <v>961.0</v>
      </c>
    </row>
    <row r="127">
      <c r="A127" s="86">
        <v>26451.0</v>
      </c>
      <c r="B127" s="87">
        <v>935.0</v>
      </c>
    </row>
    <row r="128">
      <c r="A128" s="86">
        <v>26481.0</v>
      </c>
      <c r="B128" s="87">
        <v>894.0</v>
      </c>
    </row>
    <row r="129">
      <c r="A129" s="86">
        <v>26512.0</v>
      </c>
      <c r="B129" s="87">
        <v>855.0</v>
      </c>
    </row>
    <row r="130">
      <c r="A130" s="86">
        <v>26543.0</v>
      </c>
      <c r="B130" s="87">
        <v>809.0</v>
      </c>
    </row>
    <row r="131">
      <c r="A131" s="88">
        <v>26573.0</v>
      </c>
      <c r="B131" s="87">
        <v>810.0</v>
      </c>
    </row>
    <row r="132">
      <c r="A132" s="88">
        <v>26604.0</v>
      </c>
      <c r="B132" s="87">
        <v>766.0</v>
      </c>
    </row>
    <row r="133">
      <c r="A133" s="88">
        <v>26634.0</v>
      </c>
      <c r="B133" s="87">
        <v>805.0</v>
      </c>
    </row>
    <row r="134">
      <c r="A134" s="86">
        <v>26665.0</v>
      </c>
      <c r="B134" s="87">
        <v>821.0</v>
      </c>
    </row>
    <row r="135">
      <c r="A135" s="86">
        <v>26696.0</v>
      </c>
      <c r="B135" s="87">
        <v>773.0</v>
      </c>
    </row>
    <row r="136">
      <c r="A136" s="86">
        <v>26724.0</v>
      </c>
      <c r="B136" s="87">
        <v>883.0</v>
      </c>
    </row>
    <row r="137">
      <c r="A137" s="86">
        <v>26755.0</v>
      </c>
      <c r="B137" s="87">
        <v>898.0</v>
      </c>
    </row>
    <row r="138">
      <c r="A138" s="86">
        <v>26785.0</v>
      </c>
      <c r="B138" s="87">
        <v>957.0</v>
      </c>
    </row>
    <row r="139">
      <c r="A139" s="86">
        <v>26816.0</v>
      </c>
      <c r="B139" s="87">
        <v>924.0</v>
      </c>
    </row>
    <row r="140">
      <c r="A140" s="86">
        <v>26846.0</v>
      </c>
      <c r="B140" s="87">
        <v>881.0</v>
      </c>
    </row>
    <row r="141">
      <c r="A141" s="86">
        <v>26877.0</v>
      </c>
      <c r="B141" s="87">
        <v>837.0</v>
      </c>
    </row>
    <row r="142">
      <c r="A142" s="86">
        <v>26908.0</v>
      </c>
      <c r="B142" s="87">
        <v>784.0</v>
      </c>
    </row>
    <row r="143">
      <c r="A143" s="88">
        <v>26938.0</v>
      </c>
      <c r="B143" s="87">
        <v>791.0</v>
      </c>
    </row>
    <row r="144">
      <c r="A144" s="88">
        <v>26969.0</v>
      </c>
      <c r="B144" s="87">
        <v>760.0</v>
      </c>
    </row>
    <row r="145">
      <c r="A145" s="88">
        <v>26999.0</v>
      </c>
      <c r="B145" s="87">
        <v>802.0</v>
      </c>
    </row>
    <row r="146">
      <c r="A146" s="86">
        <v>27030.0</v>
      </c>
      <c r="B146" s="87">
        <v>828.0</v>
      </c>
    </row>
    <row r="147">
      <c r="A147" s="86">
        <v>27061.0</v>
      </c>
      <c r="B147" s="87">
        <v>778.0</v>
      </c>
    </row>
    <row r="148">
      <c r="A148" s="86">
        <v>27089.0</v>
      </c>
      <c r="B148" s="87">
        <v>889.0</v>
      </c>
    </row>
    <row r="149">
      <c r="A149" s="86">
        <v>27120.0</v>
      </c>
      <c r="B149" s="87">
        <v>902.0</v>
      </c>
    </row>
    <row r="150">
      <c r="A150" s="86">
        <v>27150.0</v>
      </c>
      <c r="B150" s="87">
        <v>969.0</v>
      </c>
    </row>
    <row r="151">
      <c r="A151" s="86">
        <v>27181.0</v>
      </c>
      <c r="B151" s="87">
        <v>947.0</v>
      </c>
    </row>
    <row r="152">
      <c r="A152" s="86">
        <v>27211.0</v>
      </c>
      <c r="B152" s="87">
        <v>908.0</v>
      </c>
    </row>
    <row r="153">
      <c r="A153" s="86">
        <v>27242.0</v>
      </c>
      <c r="B153" s="87">
        <v>867.0</v>
      </c>
    </row>
    <row r="154">
      <c r="A154" s="86">
        <v>27273.0</v>
      </c>
      <c r="B154" s="87">
        <v>815.0</v>
      </c>
    </row>
    <row r="155">
      <c r="A155" s="88">
        <v>27303.0</v>
      </c>
      <c r="B155" s="87">
        <v>812.0</v>
      </c>
    </row>
    <row r="156">
      <c r="A156" s="88">
        <v>27334.0</v>
      </c>
      <c r="B156" s="87">
        <v>773.0</v>
      </c>
    </row>
    <row r="157">
      <c r="A157" s="88">
        <v>27364.0</v>
      </c>
      <c r="B157" s="87">
        <v>813.0</v>
      </c>
    </row>
    <row r="158">
      <c r="A158" s="86">
        <v>27395.0</v>
      </c>
      <c r="B158" s="87">
        <v>834.0</v>
      </c>
    </row>
    <row r="159">
      <c r="A159" s="86">
        <v>27426.0</v>
      </c>
      <c r="B159" s="87">
        <v>782.0</v>
      </c>
    </row>
    <row r="160">
      <c r="A160" s="86">
        <v>27454.0</v>
      </c>
      <c r="B160" s="87">
        <v>892.0</v>
      </c>
    </row>
    <row r="161">
      <c r="A161" s="86">
        <v>27485.0</v>
      </c>
      <c r="B161" s="87">
        <v>903.0</v>
      </c>
    </row>
    <row r="162">
      <c r="A162" s="86">
        <v>27515.0</v>
      </c>
      <c r="B162" s="87">
        <v>966.0</v>
      </c>
    </row>
    <row r="163">
      <c r="A163" s="86">
        <v>27546.0</v>
      </c>
      <c r="B163" s="87">
        <v>937.0</v>
      </c>
    </row>
    <row r="164">
      <c r="A164" s="86">
        <v>27576.0</v>
      </c>
      <c r="B164" s="87">
        <v>896.0</v>
      </c>
    </row>
    <row r="165">
      <c r="A165" s="86">
        <v>27607.0</v>
      </c>
      <c r="B165" s="87">
        <v>858.0</v>
      </c>
    </row>
    <row r="166">
      <c r="A166" s="86">
        <v>27638.0</v>
      </c>
      <c r="B166" s="87">
        <v>817.0</v>
      </c>
    </row>
    <row r="167">
      <c r="A167" s="88">
        <v>27668.0</v>
      </c>
      <c r="B167" s="87">
        <v>827.0</v>
      </c>
    </row>
    <row r="168">
      <c r="A168" s="88">
        <v>27699.0</v>
      </c>
      <c r="B168" s="87">
        <v>797.0</v>
      </c>
    </row>
    <row r="169">
      <c r="A169" s="88">
        <v>27729.0</v>
      </c>
      <c r="B169" s="87">
        <v>843.0</v>
      </c>
    </row>
    <row r="170">
      <c r="A170" s="89"/>
      <c r="B170" s="89"/>
    </row>
    <row r="171">
      <c r="A171" s="85" t="s">
        <v>33</v>
      </c>
    </row>
    <row r="172">
      <c r="A172" s="89"/>
      <c r="B172" s="89"/>
    </row>
  </sheetData>
  <mergeCells count="1">
    <mergeCell ref="A171:B1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0.75"/>
    <col customWidth="1" min="3" max="3" width="13.5"/>
    <col customWidth="1" min="4" max="4" width="15.5"/>
    <col customWidth="1" min="5" max="5" width="12.25"/>
    <col customWidth="1" min="6" max="6" width="14.13"/>
    <col customWidth="1" min="7" max="7" width="13.75"/>
    <col customWidth="1" min="8" max="8" width="12.88"/>
    <col customWidth="1" min="9" max="10" width="13.25"/>
    <col customWidth="1" min="11" max="11" width="14.38"/>
    <col customWidth="1" min="12" max="12" width="13.13"/>
    <col customWidth="1" min="13" max="13" width="15.75"/>
    <col customWidth="1" min="14" max="14" width="13.5"/>
    <col customWidth="1" min="15" max="15" width="17.25"/>
    <col customWidth="1" min="16" max="27" width="8.63"/>
  </cols>
  <sheetData>
    <row r="1" ht="14.25" customHeight="1">
      <c r="A1" s="6" t="s">
        <v>34</v>
      </c>
      <c r="B1" s="6" t="s">
        <v>10</v>
      </c>
      <c r="C1" s="6" t="s">
        <v>24</v>
      </c>
      <c r="D1" s="6" t="s">
        <v>11</v>
      </c>
      <c r="E1" s="6" t="s">
        <v>12</v>
      </c>
      <c r="F1" s="7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</row>
    <row r="2" ht="14.25" customHeight="1">
      <c r="A2" s="90">
        <v>1.0</v>
      </c>
      <c r="B2" s="90">
        <v>1.0</v>
      </c>
      <c r="C2" s="90">
        <v>207.02742</v>
      </c>
      <c r="D2" s="90"/>
      <c r="E2" s="90"/>
      <c r="F2" s="91"/>
      <c r="G2" s="92">
        <v>1.00005946961437</v>
      </c>
      <c r="H2" s="90">
        <f t="shared" ref="H2:H252" si="1">C2/G2</f>
        <v>207.0151089</v>
      </c>
      <c r="I2" s="90">
        <f t="shared" ref="I2:I252" si="2">$F$255+($F$256*B2)</f>
        <v>196.1922642</v>
      </c>
      <c r="J2" s="90">
        <f t="shared" ref="J2:J252" si="3">I2*G2</f>
        <v>196.2039317</v>
      </c>
      <c r="K2" s="90">
        <f t="shared" ref="K2:K252" si="4">C2/J2</f>
        <v>1.055164482</v>
      </c>
      <c r="L2" s="90"/>
      <c r="M2" s="90"/>
      <c r="N2" s="90">
        <f t="shared" ref="N2:N252" si="5">C2-J2</f>
        <v>10.82348831</v>
      </c>
      <c r="O2" s="90">
        <f t="shared" ref="O2:O252" si="6">(N2)^2</f>
        <v>117.1478993</v>
      </c>
    </row>
    <row r="3" ht="14.25" customHeight="1">
      <c r="A3" s="90">
        <v>2.0</v>
      </c>
      <c r="B3" s="90">
        <v>2.0</v>
      </c>
      <c r="C3" s="90">
        <v>210.060333</v>
      </c>
      <c r="D3" s="90"/>
      <c r="E3" s="90"/>
      <c r="F3" s="91"/>
      <c r="G3" s="92">
        <v>1.00188259209284</v>
      </c>
      <c r="H3" s="90">
        <f t="shared" si="1"/>
        <v>209.6656182</v>
      </c>
      <c r="I3" s="90">
        <f t="shared" si="2"/>
        <v>196.1516217</v>
      </c>
      <c r="J3" s="90">
        <f t="shared" si="3"/>
        <v>196.5208951</v>
      </c>
      <c r="K3" s="90">
        <f t="shared" si="4"/>
        <v>1.068895666</v>
      </c>
      <c r="L3" s="90"/>
      <c r="M3" s="90"/>
      <c r="N3" s="90">
        <f t="shared" si="5"/>
        <v>13.53943786</v>
      </c>
      <c r="O3" s="90">
        <f t="shared" si="6"/>
        <v>183.3163775</v>
      </c>
    </row>
    <row r="4" ht="14.25" customHeight="1">
      <c r="A4" s="90">
        <v>3.0</v>
      </c>
      <c r="B4" s="90">
        <v>3.0</v>
      </c>
      <c r="C4" s="90">
        <v>214.255234</v>
      </c>
      <c r="D4" s="90"/>
      <c r="E4" s="90"/>
      <c r="F4" s="91"/>
      <c r="G4" s="90">
        <v>0.9988670216408811</v>
      </c>
      <c r="H4" s="90">
        <f t="shared" si="1"/>
        <v>214.4982559</v>
      </c>
      <c r="I4" s="90">
        <f t="shared" si="2"/>
        <v>196.1109791</v>
      </c>
      <c r="J4" s="90">
        <f t="shared" si="3"/>
        <v>195.8887896</v>
      </c>
      <c r="K4" s="90">
        <f t="shared" si="4"/>
        <v>1.093759548</v>
      </c>
      <c r="L4" s="90"/>
      <c r="M4" s="90"/>
      <c r="N4" s="90">
        <f t="shared" si="5"/>
        <v>18.3664444</v>
      </c>
      <c r="O4" s="90">
        <f t="shared" si="6"/>
        <v>337.3262801</v>
      </c>
    </row>
    <row r="5" ht="14.25" customHeight="1">
      <c r="A5" s="90">
        <v>4.0</v>
      </c>
      <c r="B5" s="90">
        <v>4.0</v>
      </c>
      <c r="C5" s="90">
        <v>212.167633</v>
      </c>
      <c r="D5" s="90"/>
      <c r="E5" s="90"/>
      <c r="F5" s="91"/>
      <c r="G5" s="90">
        <v>0.99924241874904</v>
      </c>
      <c r="H5" s="90">
        <f t="shared" si="1"/>
        <v>212.3284891</v>
      </c>
      <c r="I5" s="90">
        <f t="shared" si="2"/>
        <v>196.0703365</v>
      </c>
      <c r="J5" s="90">
        <f t="shared" si="3"/>
        <v>195.9217973</v>
      </c>
      <c r="K5" s="90">
        <f t="shared" si="4"/>
        <v>1.082920001</v>
      </c>
      <c r="L5" s="90"/>
      <c r="M5" s="90"/>
      <c r="N5" s="90">
        <f t="shared" si="5"/>
        <v>16.24583568</v>
      </c>
      <c r="O5" s="90">
        <f t="shared" si="6"/>
        <v>263.9271769</v>
      </c>
    </row>
    <row r="6" ht="14.25" customHeight="1">
      <c r="A6" s="90">
        <v>5.0</v>
      </c>
      <c r="B6" s="90">
        <v>5.0</v>
      </c>
      <c r="C6" s="90">
        <v>211.754028</v>
      </c>
      <c r="D6" s="90"/>
      <c r="E6" s="90"/>
      <c r="F6" s="91"/>
      <c r="G6" s="90">
        <v>0.9999484979028709</v>
      </c>
      <c r="H6" s="90">
        <f t="shared" si="1"/>
        <v>211.7649343</v>
      </c>
      <c r="I6" s="90">
        <f t="shared" si="2"/>
        <v>196.029694</v>
      </c>
      <c r="J6" s="90">
        <f t="shared" si="3"/>
        <v>196.019598</v>
      </c>
      <c r="K6" s="90">
        <f t="shared" si="4"/>
        <v>1.080269678</v>
      </c>
      <c r="L6" s="90"/>
      <c r="M6" s="90"/>
      <c r="N6" s="90">
        <f t="shared" si="5"/>
        <v>15.73442997</v>
      </c>
      <c r="O6" s="90">
        <f t="shared" si="6"/>
        <v>247.5722864</v>
      </c>
    </row>
    <row r="7" ht="14.25" customHeight="1">
      <c r="A7" s="90">
        <v>1.0</v>
      </c>
      <c r="B7" s="90">
        <v>6.0</v>
      </c>
      <c r="C7" s="90">
        <v>211.763901</v>
      </c>
      <c r="D7" s="90">
        <f t="shared" ref="D7:D252" si="7">AVERAGE(C2:C6)</f>
        <v>211.0529296</v>
      </c>
      <c r="E7" s="90">
        <f t="shared" ref="E7:E251" si="8">AVERAGE(D7:D8)</f>
        <v>211.5265777</v>
      </c>
      <c r="F7" s="91">
        <f t="shared" ref="F7:F252" si="9">C7/E7</f>
        <v>1.001121955</v>
      </c>
      <c r="G7" s="90">
        <v>1.0000594696143654</v>
      </c>
      <c r="H7" s="90">
        <f t="shared" si="1"/>
        <v>211.7513082</v>
      </c>
      <c r="I7" s="90">
        <f t="shared" si="2"/>
        <v>195.9890514</v>
      </c>
      <c r="J7" s="90">
        <f t="shared" si="3"/>
        <v>196.0007068</v>
      </c>
      <c r="K7" s="90">
        <f t="shared" si="4"/>
        <v>1.08042417</v>
      </c>
      <c r="L7" s="90">
        <f t="shared" ref="L7:L252" si="10">AVERAGE(K2:K6)</f>
        <v>1.076201875</v>
      </c>
      <c r="M7" s="90">
        <f t="shared" ref="M7:M252" si="11">K7/L7</f>
        <v>1.00392333</v>
      </c>
      <c r="N7" s="90">
        <f t="shared" si="5"/>
        <v>15.76319419</v>
      </c>
      <c r="O7" s="90">
        <f t="shared" si="6"/>
        <v>248.4782912</v>
      </c>
    </row>
    <row r="8" ht="14.25" customHeight="1">
      <c r="A8" s="90">
        <v>2.0</v>
      </c>
      <c r="B8" s="90">
        <v>7.0</v>
      </c>
      <c r="C8" s="90">
        <v>212.197189</v>
      </c>
      <c r="D8" s="90">
        <f t="shared" si="7"/>
        <v>212.0002258</v>
      </c>
      <c r="E8" s="90">
        <f t="shared" si="8"/>
        <v>212.2139114</v>
      </c>
      <c r="F8" s="91">
        <f t="shared" si="9"/>
        <v>0.9999212003</v>
      </c>
      <c r="G8" s="90">
        <v>1.0018825920928427</v>
      </c>
      <c r="H8" s="90">
        <f t="shared" si="1"/>
        <v>211.7984589</v>
      </c>
      <c r="I8" s="90">
        <f t="shared" si="2"/>
        <v>195.9484089</v>
      </c>
      <c r="J8" s="90">
        <f t="shared" si="3"/>
        <v>196.3172998</v>
      </c>
      <c r="K8" s="90">
        <f t="shared" si="4"/>
        <v>1.080888894</v>
      </c>
      <c r="L8" s="90">
        <f t="shared" si="10"/>
        <v>1.081253813</v>
      </c>
      <c r="M8" s="90">
        <f t="shared" si="11"/>
        <v>0.9996625041</v>
      </c>
      <c r="N8" s="90">
        <f t="shared" si="5"/>
        <v>15.87988922</v>
      </c>
      <c r="O8" s="90">
        <f t="shared" si="6"/>
        <v>252.1708817</v>
      </c>
    </row>
    <row r="9" ht="14.25" customHeight="1">
      <c r="A9" s="90">
        <v>3.0</v>
      </c>
      <c r="B9" s="90">
        <v>8.0</v>
      </c>
      <c r="C9" s="90">
        <v>212.856949</v>
      </c>
      <c r="D9" s="90">
        <f t="shared" si="7"/>
        <v>212.427597</v>
      </c>
      <c r="E9" s="90">
        <f t="shared" si="8"/>
        <v>212.2877685</v>
      </c>
      <c r="F9" s="91">
        <f t="shared" si="9"/>
        <v>1.002681174</v>
      </c>
      <c r="G9" s="90">
        <v>0.9988670216408811</v>
      </c>
      <c r="H9" s="90">
        <f t="shared" si="1"/>
        <v>213.0983849</v>
      </c>
      <c r="I9" s="90">
        <f t="shared" si="2"/>
        <v>195.9077663</v>
      </c>
      <c r="J9" s="90">
        <f t="shared" si="3"/>
        <v>195.685807</v>
      </c>
      <c r="K9" s="90">
        <f t="shared" si="4"/>
        <v>1.08774853</v>
      </c>
      <c r="L9" s="90">
        <f t="shared" si="10"/>
        <v>1.083652458</v>
      </c>
      <c r="M9" s="90">
        <f t="shared" si="11"/>
        <v>1.003779876</v>
      </c>
      <c r="N9" s="90">
        <f t="shared" si="5"/>
        <v>17.17114196</v>
      </c>
      <c r="O9" s="90">
        <f t="shared" si="6"/>
        <v>294.8481164</v>
      </c>
    </row>
    <row r="10" ht="14.25" customHeight="1">
      <c r="A10" s="90">
        <v>4.0</v>
      </c>
      <c r="B10" s="90">
        <v>9.0</v>
      </c>
      <c r="C10" s="90">
        <v>214.609741</v>
      </c>
      <c r="D10" s="90">
        <f t="shared" si="7"/>
        <v>212.14794</v>
      </c>
      <c r="E10" s="90">
        <f t="shared" si="8"/>
        <v>212.3921508</v>
      </c>
      <c r="F10" s="91">
        <f t="shared" si="9"/>
        <v>1.010441018</v>
      </c>
      <c r="G10" s="90">
        <v>0.99924241874904</v>
      </c>
      <c r="H10" s="90">
        <f t="shared" si="1"/>
        <v>214.7724486</v>
      </c>
      <c r="I10" s="90">
        <f t="shared" si="2"/>
        <v>195.8671237</v>
      </c>
      <c r="J10" s="90">
        <f t="shared" si="3"/>
        <v>195.7187385</v>
      </c>
      <c r="K10" s="90">
        <f t="shared" si="4"/>
        <v>1.096521175</v>
      </c>
      <c r="L10" s="90">
        <f t="shared" si="10"/>
        <v>1.082450255</v>
      </c>
      <c r="M10" s="90">
        <f t="shared" si="11"/>
        <v>1.012999138</v>
      </c>
      <c r="N10" s="90">
        <f t="shared" si="5"/>
        <v>18.89100252</v>
      </c>
      <c r="O10" s="90">
        <f t="shared" si="6"/>
        <v>356.8699764</v>
      </c>
    </row>
    <row r="11" ht="14.25" customHeight="1">
      <c r="A11" s="90">
        <v>5.0</v>
      </c>
      <c r="B11" s="90">
        <v>10.0</v>
      </c>
      <c r="C11" s="90">
        <v>216.34285</v>
      </c>
      <c r="D11" s="90">
        <f t="shared" si="7"/>
        <v>212.6363616</v>
      </c>
      <c r="E11" s="90">
        <f t="shared" si="8"/>
        <v>213.0952438</v>
      </c>
      <c r="F11" s="91">
        <f t="shared" si="9"/>
        <v>1.015240163</v>
      </c>
      <c r="G11" s="90">
        <v>0.9999484979028709</v>
      </c>
      <c r="H11" s="90">
        <f t="shared" si="1"/>
        <v>216.3539927</v>
      </c>
      <c r="I11" s="90">
        <f t="shared" si="2"/>
        <v>195.8264812</v>
      </c>
      <c r="J11" s="90">
        <f t="shared" si="3"/>
        <v>195.8163957</v>
      </c>
      <c r="K11" s="90">
        <f t="shared" si="4"/>
        <v>1.104825003</v>
      </c>
      <c r="L11" s="90">
        <f t="shared" si="10"/>
        <v>1.085170489</v>
      </c>
      <c r="M11" s="90">
        <f t="shared" si="11"/>
        <v>1.018111913</v>
      </c>
      <c r="N11" s="90">
        <f t="shared" si="5"/>
        <v>20.5264543</v>
      </c>
      <c r="O11" s="90">
        <f t="shared" si="6"/>
        <v>421.335326</v>
      </c>
    </row>
    <row r="12" ht="14.25" customHeight="1">
      <c r="A12" s="90">
        <v>1.0</v>
      </c>
      <c r="B12" s="90">
        <v>11.0</v>
      </c>
      <c r="C12" s="90">
        <v>219.572723</v>
      </c>
      <c r="D12" s="90">
        <f t="shared" si="7"/>
        <v>213.554126</v>
      </c>
      <c r="E12" s="90">
        <f t="shared" si="8"/>
        <v>214.3350082</v>
      </c>
      <c r="F12" s="91">
        <f t="shared" si="9"/>
        <v>1.024437048</v>
      </c>
      <c r="G12" s="90">
        <v>1.0000594696143654</v>
      </c>
      <c r="H12" s="90">
        <f t="shared" si="1"/>
        <v>219.5596659</v>
      </c>
      <c r="I12" s="90">
        <f t="shared" si="2"/>
        <v>195.7858386</v>
      </c>
      <c r="J12" s="90">
        <f t="shared" si="3"/>
        <v>195.7974819</v>
      </c>
      <c r="K12" s="90">
        <f t="shared" si="4"/>
        <v>1.121427716</v>
      </c>
      <c r="L12" s="90">
        <f t="shared" si="10"/>
        <v>1.090081554</v>
      </c>
      <c r="M12" s="90">
        <f t="shared" si="11"/>
        <v>1.028755795</v>
      </c>
      <c r="N12" s="90">
        <f t="shared" si="5"/>
        <v>23.77524107</v>
      </c>
      <c r="O12" s="90">
        <f t="shared" si="6"/>
        <v>565.2620881</v>
      </c>
    </row>
    <row r="13" ht="14.25" customHeight="1">
      <c r="A13" s="90">
        <v>2.0</v>
      </c>
      <c r="B13" s="90">
        <v>12.0</v>
      </c>
      <c r="C13" s="90">
        <v>221.591385</v>
      </c>
      <c r="D13" s="90">
        <f t="shared" si="7"/>
        <v>215.1158904</v>
      </c>
      <c r="E13" s="90">
        <f t="shared" si="8"/>
        <v>216.05531</v>
      </c>
      <c r="F13" s="91">
        <f t="shared" si="9"/>
        <v>1.025623416</v>
      </c>
      <c r="G13" s="90">
        <v>1.0018825920928427</v>
      </c>
      <c r="H13" s="90">
        <f t="shared" si="1"/>
        <v>221.1750027</v>
      </c>
      <c r="I13" s="90">
        <f t="shared" si="2"/>
        <v>195.7451961</v>
      </c>
      <c r="J13" s="90">
        <f t="shared" si="3"/>
        <v>196.1137044</v>
      </c>
      <c r="K13" s="90">
        <f t="shared" si="4"/>
        <v>1.129912801</v>
      </c>
      <c r="L13" s="90">
        <f t="shared" si="10"/>
        <v>1.098282264</v>
      </c>
      <c r="M13" s="90">
        <f t="shared" si="11"/>
        <v>1.028800007</v>
      </c>
      <c r="N13" s="90">
        <f t="shared" si="5"/>
        <v>25.47768058</v>
      </c>
      <c r="O13" s="90">
        <f t="shared" si="6"/>
        <v>649.1122079</v>
      </c>
    </row>
    <row r="14" ht="14.25" customHeight="1">
      <c r="A14" s="90">
        <v>3.0</v>
      </c>
      <c r="B14" s="90">
        <v>13.0</v>
      </c>
      <c r="C14" s="90">
        <v>224.151657</v>
      </c>
      <c r="D14" s="90">
        <f t="shared" si="7"/>
        <v>216.9947296</v>
      </c>
      <c r="E14" s="90">
        <f t="shared" si="8"/>
        <v>218.1242004</v>
      </c>
      <c r="F14" s="91">
        <f t="shared" si="9"/>
        <v>1.02763314</v>
      </c>
      <c r="G14" s="90">
        <v>0.9988670216408811</v>
      </c>
      <c r="H14" s="90">
        <f t="shared" si="1"/>
        <v>224.405904</v>
      </c>
      <c r="I14" s="90">
        <f t="shared" si="2"/>
        <v>195.7045535</v>
      </c>
      <c r="J14" s="90">
        <f t="shared" si="3"/>
        <v>195.4828245</v>
      </c>
      <c r="K14" s="90">
        <f t="shared" si="4"/>
        <v>1.146656529</v>
      </c>
      <c r="L14" s="90">
        <f t="shared" si="10"/>
        <v>1.108087045</v>
      </c>
      <c r="M14" s="90">
        <f t="shared" si="11"/>
        <v>1.034807269</v>
      </c>
      <c r="N14" s="90">
        <f t="shared" si="5"/>
        <v>28.66883252</v>
      </c>
      <c r="O14" s="90">
        <f t="shared" si="6"/>
        <v>821.9019583</v>
      </c>
    </row>
    <row r="15" ht="14.25" customHeight="1">
      <c r="A15" s="90">
        <v>4.0</v>
      </c>
      <c r="B15" s="90">
        <v>14.0</v>
      </c>
      <c r="C15" s="90">
        <v>224.870499</v>
      </c>
      <c r="D15" s="90">
        <f t="shared" si="7"/>
        <v>219.2536712</v>
      </c>
      <c r="E15" s="90">
        <f t="shared" si="8"/>
        <v>220.279747</v>
      </c>
      <c r="F15" s="91">
        <f t="shared" si="9"/>
        <v>1.020840554</v>
      </c>
      <c r="G15" s="90">
        <v>0.99924241874904</v>
      </c>
      <c r="H15" s="90">
        <f t="shared" si="1"/>
        <v>225.0409858</v>
      </c>
      <c r="I15" s="90">
        <f t="shared" si="2"/>
        <v>195.6639109</v>
      </c>
      <c r="J15" s="90">
        <f t="shared" si="3"/>
        <v>195.5156796</v>
      </c>
      <c r="K15" s="90">
        <f t="shared" si="4"/>
        <v>1.150140487</v>
      </c>
      <c r="L15" s="90">
        <f t="shared" si="10"/>
        <v>1.119868645</v>
      </c>
      <c r="M15" s="90">
        <f t="shared" si="11"/>
        <v>1.027031601</v>
      </c>
      <c r="N15" s="90">
        <f t="shared" si="5"/>
        <v>29.35481937</v>
      </c>
      <c r="O15" s="90">
        <f t="shared" si="6"/>
        <v>861.7054202</v>
      </c>
    </row>
    <row r="16" ht="14.25" customHeight="1">
      <c r="A16" s="90">
        <v>5.0</v>
      </c>
      <c r="B16" s="90">
        <v>15.0</v>
      </c>
      <c r="C16" s="90">
        <v>223.403275</v>
      </c>
      <c r="D16" s="90">
        <f t="shared" si="7"/>
        <v>221.3058228</v>
      </c>
      <c r="E16" s="90">
        <f t="shared" si="8"/>
        <v>222.0118653</v>
      </c>
      <c r="F16" s="91">
        <f t="shared" si="9"/>
        <v>1.006267276</v>
      </c>
      <c r="G16" s="90">
        <v>0.9999484979028709</v>
      </c>
      <c r="H16" s="90">
        <f t="shared" si="1"/>
        <v>223.4147813</v>
      </c>
      <c r="I16" s="90">
        <f t="shared" si="2"/>
        <v>195.6232684</v>
      </c>
      <c r="J16" s="90">
        <f t="shared" si="3"/>
        <v>195.6131934</v>
      </c>
      <c r="K16" s="90">
        <f t="shared" si="4"/>
        <v>1.142066499</v>
      </c>
      <c r="L16" s="90">
        <f t="shared" si="10"/>
        <v>1.130592507</v>
      </c>
      <c r="M16" s="90">
        <f t="shared" si="11"/>
        <v>1.010148654</v>
      </c>
      <c r="N16" s="90">
        <f t="shared" si="5"/>
        <v>27.79008163</v>
      </c>
      <c r="O16" s="90">
        <f t="shared" si="6"/>
        <v>772.2886368</v>
      </c>
    </row>
    <row r="17" ht="14.25" customHeight="1">
      <c r="A17" s="90">
        <v>1.0</v>
      </c>
      <c r="B17" s="90">
        <v>16.0</v>
      </c>
      <c r="C17" s="90">
        <v>219.690903</v>
      </c>
      <c r="D17" s="90">
        <f t="shared" si="7"/>
        <v>222.7179078</v>
      </c>
      <c r="E17" s="90">
        <f t="shared" si="8"/>
        <v>222.7297258</v>
      </c>
      <c r="F17" s="91">
        <f t="shared" si="9"/>
        <v>0.9863564561</v>
      </c>
      <c r="G17" s="90">
        <v>1.0000594696143654</v>
      </c>
      <c r="H17" s="90">
        <f t="shared" si="1"/>
        <v>219.6778388</v>
      </c>
      <c r="I17" s="90">
        <f t="shared" si="2"/>
        <v>195.5826258</v>
      </c>
      <c r="J17" s="90">
        <f t="shared" si="3"/>
        <v>195.594257</v>
      </c>
      <c r="K17" s="90">
        <f t="shared" si="4"/>
        <v>1.123197104</v>
      </c>
      <c r="L17" s="90">
        <f t="shared" si="10"/>
        <v>1.138040806</v>
      </c>
      <c r="M17" s="90">
        <f t="shared" si="11"/>
        <v>0.9869567921</v>
      </c>
      <c r="N17" s="90">
        <f t="shared" si="5"/>
        <v>24.09664595</v>
      </c>
      <c r="O17" s="90">
        <f t="shared" si="6"/>
        <v>580.6483462</v>
      </c>
    </row>
    <row r="18" ht="14.25" customHeight="1">
      <c r="A18" s="90">
        <v>2.0</v>
      </c>
      <c r="B18" s="90">
        <v>17.0</v>
      </c>
      <c r="C18" s="90">
        <v>217.918411</v>
      </c>
      <c r="D18" s="90">
        <f t="shared" si="7"/>
        <v>222.7415438</v>
      </c>
      <c r="E18" s="90">
        <f t="shared" si="8"/>
        <v>222.3742464</v>
      </c>
      <c r="F18" s="91">
        <f t="shared" si="9"/>
        <v>0.9799624486</v>
      </c>
      <c r="G18" s="90">
        <v>1.0018825920928427</v>
      </c>
      <c r="H18" s="90">
        <f t="shared" si="1"/>
        <v>217.5089304</v>
      </c>
      <c r="I18" s="90">
        <f t="shared" si="2"/>
        <v>195.5419833</v>
      </c>
      <c r="J18" s="90">
        <f t="shared" si="3"/>
        <v>195.9101091</v>
      </c>
      <c r="K18" s="90">
        <f t="shared" si="4"/>
        <v>1.112338776</v>
      </c>
      <c r="L18" s="90">
        <f t="shared" si="10"/>
        <v>1.138394684</v>
      </c>
      <c r="M18" s="90">
        <f t="shared" si="11"/>
        <v>0.9771117101</v>
      </c>
      <c r="N18" s="90">
        <f t="shared" si="5"/>
        <v>22.00830195</v>
      </c>
      <c r="O18" s="90">
        <f t="shared" si="6"/>
        <v>484.3653545</v>
      </c>
    </row>
    <row r="19" ht="14.25" customHeight="1">
      <c r="A19" s="90">
        <v>3.0</v>
      </c>
      <c r="B19" s="90">
        <v>18.0</v>
      </c>
      <c r="C19" s="90">
        <v>214.993759</v>
      </c>
      <c r="D19" s="90">
        <f t="shared" si="7"/>
        <v>222.006949</v>
      </c>
      <c r="E19" s="90">
        <f t="shared" si="8"/>
        <v>221.0911592</v>
      </c>
      <c r="F19" s="91">
        <f t="shared" si="9"/>
        <v>0.9724213296</v>
      </c>
      <c r="G19" s="90">
        <v>0.9988670216408811</v>
      </c>
      <c r="H19" s="90">
        <f t="shared" si="1"/>
        <v>215.2376186</v>
      </c>
      <c r="I19" s="90">
        <f t="shared" si="2"/>
        <v>195.5013407</v>
      </c>
      <c r="J19" s="90">
        <f t="shared" si="3"/>
        <v>195.2798419</v>
      </c>
      <c r="K19" s="90">
        <f t="shared" si="4"/>
        <v>1.100952136</v>
      </c>
      <c r="L19" s="90">
        <f t="shared" si="10"/>
        <v>1.134879879</v>
      </c>
      <c r="M19" s="90">
        <f t="shared" si="11"/>
        <v>0.970104551</v>
      </c>
      <c r="N19" s="90">
        <f t="shared" si="5"/>
        <v>19.71391708</v>
      </c>
      <c r="O19" s="90">
        <f t="shared" si="6"/>
        <v>388.6385268</v>
      </c>
    </row>
    <row r="20" ht="14.25" customHeight="1">
      <c r="A20" s="90">
        <v>4.0</v>
      </c>
      <c r="B20" s="90">
        <v>19.0</v>
      </c>
      <c r="C20" s="90">
        <v>220.429443</v>
      </c>
      <c r="D20" s="90">
        <f t="shared" si="7"/>
        <v>220.1753694</v>
      </c>
      <c r="E20" s="90">
        <f t="shared" si="8"/>
        <v>219.7312638</v>
      </c>
      <c r="F20" s="91">
        <f t="shared" si="9"/>
        <v>1.003177423</v>
      </c>
      <c r="G20" s="90">
        <v>0.99924241874904</v>
      </c>
      <c r="H20" s="90">
        <f t="shared" si="1"/>
        <v>220.5965628</v>
      </c>
      <c r="I20" s="90">
        <f t="shared" si="2"/>
        <v>195.4606981</v>
      </c>
      <c r="J20" s="90">
        <f t="shared" si="3"/>
        <v>195.3126208</v>
      </c>
      <c r="K20" s="90">
        <f t="shared" si="4"/>
        <v>1.12859805</v>
      </c>
      <c r="L20" s="90">
        <f t="shared" si="10"/>
        <v>1.125739</v>
      </c>
      <c r="M20" s="90">
        <f t="shared" si="11"/>
        <v>1.002539709</v>
      </c>
      <c r="N20" s="90">
        <f t="shared" si="5"/>
        <v>25.11682222</v>
      </c>
      <c r="O20" s="90">
        <f t="shared" si="6"/>
        <v>630.8547582</v>
      </c>
    </row>
    <row r="21" ht="14.25" customHeight="1">
      <c r="A21" s="90">
        <v>5.0</v>
      </c>
      <c r="B21" s="90">
        <v>20.0</v>
      </c>
      <c r="C21" s="90">
        <v>217.691925</v>
      </c>
      <c r="D21" s="90">
        <f t="shared" si="7"/>
        <v>219.2871582</v>
      </c>
      <c r="E21" s="90">
        <f t="shared" si="8"/>
        <v>218.7160232</v>
      </c>
      <c r="F21" s="91">
        <f t="shared" si="9"/>
        <v>0.995317681</v>
      </c>
      <c r="G21" s="90">
        <v>0.9999484979028709</v>
      </c>
      <c r="H21" s="90">
        <f t="shared" si="1"/>
        <v>217.7031372</v>
      </c>
      <c r="I21" s="90">
        <f t="shared" si="2"/>
        <v>195.4200556</v>
      </c>
      <c r="J21" s="90">
        <f t="shared" si="3"/>
        <v>195.409991</v>
      </c>
      <c r="K21" s="90">
        <f t="shared" si="4"/>
        <v>1.114026585</v>
      </c>
      <c r="L21" s="90">
        <f t="shared" si="10"/>
        <v>1.121430513</v>
      </c>
      <c r="M21" s="90">
        <f t="shared" si="11"/>
        <v>0.9933977826</v>
      </c>
      <c r="N21" s="90">
        <f t="shared" si="5"/>
        <v>22.28193396</v>
      </c>
      <c r="O21" s="90">
        <f t="shared" si="6"/>
        <v>496.4845809</v>
      </c>
    </row>
    <row r="22" ht="14.25" customHeight="1">
      <c r="A22" s="90">
        <v>1.0</v>
      </c>
      <c r="B22" s="90">
        <v>21.0</v>
      </c>
      <c r="C22" s="90">
        <v>222.950317</v>
      </c>
      <c r="D22" s="90">
        <f t="shared" si="7"/>
        <v>218.1448882</v>
      </c>
      <c r="E22" s="90">
        <f t="shared" si="8"/>
        <v>218.4708296</v>
      </c>
      <c r="F22" s="91">
        <f t="shared" si="9"/>
        <v>1.020503824</v>
      </c>
      <c r="G22" s="90">
        <v>1.0000594696143654</v>
      </c>
      <c r="H22" s="90">
        <f t="shared" si="1"/>
        <v>222.937059</v>
      </c>
      <c r="I22" s="90">
        <f t="shared" si="2"/>
        <v>195.379413</v>
      </c>
      <c r="J22" s="90">
        <f t="shared" si="3"/>
        <v>195.3910322</v>
      </c>
      <c r="K22" s="90">
        <f t="shared" si="4"/>
        <v>1.141046826</v>
      </c>
      <c r="L22" s="90">
        <f t="shared" si="10"/>
        <v>1.11582253</v>
      </c>
      <c r="M22" s="90">
        <f t="shared" si="11"/>
        <v>1.02260601</v>
      </c>
      <c r="N22" s="90">
        <f t="shared" si="5"/>
        <v>27.55928483</v>
      </c>
      <c r="O22" s="90">
        <f t="shared" si="6"/>
        <v>759.5141806</v>
      </c>
    </row>
    <row r="23" ht="14.25" customHeight="1">
      <c r="A23" s="90">
        <v>2.0</v>
      </c>
      <c r="B23" s="90">
        <v>22.0</v>
      </c>
      <c r="C23" s="90">
        <v>220.419571</v>
      </c>
      <c r="D23" s="90">
        <f t="shared" si="7"/>
        <v>218.796771</v>
      </c>
      <c r="E23" s="90">
        <f t="shared" si="8"/>
        <v>219.046887</v>
      </c>
      <c r="F23" s="91">
        <f t="shared" si="9"/>
        <v>1.006266622</v>
      </c>
      <c r="G23" s="90">
        <v>1.0018825920928427</v>
      </c>
      <c r="H23" s="90">
        <f t="shared" si="1"/>
        <v>220.0053906</v>
      </c>
      <c r="I23" s="90">
        <f t="shared" si="2"/>
        <v>195.3387705</v>
      </c>
      <c r="J23" s="90">
        <f t="shared" si="3"/>
        <v>195.7065137</v>
      </c>
      <c r="K23" s="90">
        <f t="shared" si="4"/>
        <v>1.12627611</v>
      </c>
      <c r="L23" s="90">
        <f t="shared" si="10"/>
        <v>1.119392475</v>
      </c>
      <c r="M23" s="90">
        <f t="shared" si="11"/>
        <v>1.006149439</v>
      </c>
      <c r="N23" s="90">
        <f t="shared" si="5"/>
        <v>24.71305731</v>
      </c>
      <c r="O23" s="90">
        <f t="shared" si="6"/>
        <v>610.7352015</v>
      </c>
    </row>
    <row r="24" ht="14.25" customHeight="1">
      <c r="A24" s="90">
        <v>3.0</v>
      </c>
      <c r="B24" s="90">
        <v>23.0</v>
      </c>
      <c r="C24" s="90">
        <v>214.550659</v>
      </c>
      <c r="D24" s="90">
        <f t="shared" si="7"/>
        <v>219.297003</v>
      </c>
      <c r="E24" s="90">
        <f t="shared" si="8"/>
        <v>219.252693</v>
      </c>
      <c r="F24" s="91">
        <f t="shared" si="9"/>
        <v>0.9785542703</v>
      </c>
      <c r="G24" s="90">
        <v>0.9988670216408811</v>
      </c>
      <c r="H24" s="90">
        <f t="shared" si="1"/>
        <v>214.794016</v>
      </c>
      <c r="I24" s="90">
        <f t="shared" si="2"/>
        <v>195.2981279</v>
      </c>
      <c r="J24" s="90">
        <f t="shared" si="3"/>
        <v>195.0768594</v>
      </c>
      <c r="K24" s="90">
        <f t="shared" si="4"/>
        <v>1.099826293</v>
      </c>
      <c r="L24" s="90">
        <f t="shared" si="10"/>
        <v>1.122179941</v>
      </c>
      <c r="M24" s="90">
        <f t="shared" si="11"/>
        <v>0.9800801566</v>
      </c>
      <c r="N24" s="90">
        <f t="shared" si="5"/>
        <v>19.47379964</v>
      </c>
      <c r="O24" s="90">
        <f t="shared" si="6"/>
        <v>379.2288726</v>
      </c>
    </row>
    <row r="25" ht="14.25" customHeight="1">
      <c r="A25" s="90">
        <v>4.0</v>
      </c>
      <c r="B25" s="90">
        <v>24.0</v>
      </c>
      <c r="C25" s="90">
        <v>214.905167</v>
      </c>
      <c r="D25" s="90">
        <f t="shared" si="7"/>
        <v>219.208383</v>
      </c>
      <c r="E25" s="90">
        <f t="shared" si="8"/>
        <v>218.6559554</v>
      </c>
      <c r="F25" s="91">
        <f t="shared" si="9"/>
        <v>0.982846164</v>
      </c>
      <c r="G25" s="90">
        <v>0.99924241874904</v>
      </c>
      <c r="H25" s="90">
        <f t="shared" si="1"/>
        <v>215.0680986</v>
      </c>
      <c r="I25" s="90">
        <f t="shared" si="2"/>
        <v>195.2574853</v>
      </c>
      <c r="J25" s="90">
        <f t="shared" si="3"/>
        <v>195.1095619</v>
      </c>
      <c r="K25" s="90">
        <f t="shared" si="4"/>
        <v>1.101458918</v>
      </c>
      <c r="L25" s="90">
        <f t="shared" si="10"/>
        <v>1.121954773</v>
      </c>
      <c r="M25" s="90">
        <f t="shared" si="11"/>
        <v>0.9817320135</v>
      </c>
      <c r="N25" s="90">
        <f t="shared" si="5"/>
        <v>19.79560506</v>
      </c>
      <c r="O25" s="90">
        <f t="shared" si="6"/>
        <v>391.8659797</v>
      </c>
    </row>
    <row r="26" ht="14.25" customHeight="1">
      <c r="A26" s="90">
        <v>5.0</v>
      </c>
      <c r="B26" s="90">
        <v>25.0</v>
      </c>
      <c r="C26" s="90">
        <v>215.033142</v>
      </c>
      <c r="D26" s="90">
        <f t="shared" si="7"/>
        <v>218.1035278</v>
      </c>
      <c r="E26" s="90">
        <f t="shared" si="8"/>
        <v>217.8376495</v>
      </c>
      <c r="F26" s="91">
        <f t="shared" si="9"/>
        <v>0.9871256989</v>
      </c>
      <c r="G26" s="90">
        <v>0.9999484979028709</v>
      </c>
      <c r="H26" s="90">
        <f t="shared" si="1"/>
        <v>215.0442172</v>
      </c>
      <c r="I26" s="90">
        <f t="shared" si="2"/>
        <v>195.2168428</v>
      </c>
      <c r="J26" s="90">
        <f t="shared" si="3"/>
        <v>195.2067887</v>
      </c>
      <c r="K26" s="90">
        <f t="shared" si="4"/>
        <v>1.101565901</v>
      </c>
      <c r="L26" s="90">
        <f t="shared" si="10"/>
        <v>1.116526946</v>
      </c>
      <c r="M26" s="90">
        <f t="shared" si="11"/>
        <v>0.986600372</v>
      </c>
      <c r="N26" s="90">
        <f t="shared" si="5"/>
        <v>19.82635329</v>
      </c>
      <c r="O26" s="90">
        <f t="shared" si="6"/>
        <v>393.0842846</v>
      </c>
    </row>
    <row r="27" ht="14.25" customHeight="1">
      <c r="A27" s="90">
        <v>1.0</v>
      </c>
      <c r="B27" s="90">
        <v>26.0</v>
      </c>
      <c r="C27" s="90">
        <v>216.667816</v>
      </c>
      <c r="D27" s="90">
        <f t="shared" si="7"/>
        <v>217.5717712</v>
      </c>
      <c r="E27" s="90">
        <f t="shared" si="8"/>
        <v>216.9435211</v>
      </c>
      <c r="F27" s="91">
        <f t="shared" si="9"/>
        <v>0.9987291388</v>
      </c>
      <c r="G27" s="90">
        <v>1.0000594696143654</v>
      </c>
      <c r="H27" s="90">
        <f t="shared" si="1"/>
        <v>216.6549316</v>
      </c>
      <c r="I27" s="90">
        <f t="shared" si="2"/>
        <v>195.1762002</v>
      </c>
      <c r="J27" s="90">
        <f t="shared" si="3"/>
        <v>195.1878073</v>
      </c>
      <c r="K27" s="90">
        <f t="shared" si="4"/>
        <v>1.110047902</v>
      </c>
      <c r="L27" s="90">
        <f t="shared" si="10"/>
        <v>1.114034809</v>
      </c>
      <c r="M27" s="90">
        <f t="shared" si="11"/>
        <v>0.9964212004</v>
      </c>
      <c r="N27" s="90">
        <f t="shared" si="5"/>
        <v>21.48000872</v>
      </c>
      <c r="O27" s="90">
        <f t="shared" si="6"/>
        <v>461.3907744</v>
      </c>
    </row>
    <row r="28" ht="14.25" customHeight="1">
      <c r="A28" s="90">
        <v>2.0</v>
      </c>
      <c r="B28" s="90">
        <v>27.0</v>
      </c>
      <c r="C28" s="90">
        <v>214.33403</v>
      </c>
      <c r="D28" s="90">
        <f t="shared" si="7"/>
        <v>216.315271</v>
      </c>
      <c r="E28" s="90">
        <f t="shared" si="8"/>
        <v>215.7067169</v>
      </c>
      <c r="F28" s="91">
        <f t="shared" si="9"/>
        <v>0.9936363275</v>
      </c>
      <c r="G28" s="90">
        <v>1.0018825920928427</v>
      </c>
      <c r="H28" s="90">
        <f t="shared" si="1"/>
        <v>213.9312847</v>
      </c>
      <c r="I28" s="90">
        <f t="shared" si="2"/>
        <v>195.1355577</v>
      </c>
      <c r="J28" s="90">
        <f t="shared" si="3"/>
        <v>195.5029183</v>
      </c>
      <c r="K28" s="90">
        <f t="shared" si="4"/>
        <v>1.096321384</v>
      </c>
      <c r="L28" s="90">
        <f t="shared" si="10"/>
        <v>1.107835025</v>
      </c>
      <c r="M28" s="90">
        <f t="shared" si="11"/>
        <v>0.9896070801</v>
      </c>
      <c r="N28" s="90">
        <f t="shared" si="5"/>
        <v>18.83111167</v>
      </c>
      <c r="O28" s="90">
        <f t="shared" si="6"/>
        <v>354.6107667</v>
      </c>
    </row>
    <row r="29" ht="14.25" customHeight="1">
      <c r="A29" s="90">
        <v>3.0</v>
      </c>
      <c r="B29" s="90">
        <v>28.0</v>
      </c>
      <c r="C29" s="90">
        <v>217.416183</v>
      </c>
      <c r="D29" s="90">
        <f t="shared" si="7"/>
        <v>215.0981628</v>
      </c>
      <c r="E29" s="90">
        <f t="shared" si="8"/>
        <v>215.3847152</v>
      </c>
      <c r="F29" s="91">
        <f t="shared" si="9"/>
        <v>1.00943181</v>
      </c>
      <c r="G29" s="90">
        <v>0.9988670216408811</v>
      </c>
      <c r="H29" s="90">
        <f t="shared" si="1"/>
        <v>217.6627902</v>
      </c>
      <c r="I29" s="90">
        <f t="shared" si="2"/>
        <v>195.0949151</v>
      </c>
      <c r="J29" s="90">
        <f t="shared" si="3"/>
        <v>194.8738768</v>
      </c>
      <c r="K29" s="90">
        <f t="shared" si="4"/>
        <v>1.115676388</v>
      </c>
      <c r="L29" s="90">
        <f t="shared" si="10"/>
        <v>1.101844079</v>
      </c>
      <c r="M29" s="90">
        <f t="shared" si="11"/>
        <v>1.01255378</v>
      </c>
      <c r="N29" s="90">
        <f t="shared" si="5"/>
        <v>22.5423062</v>
      </c>
      <c r="O29" s="90">
        <f t="shared" si="6"/>
        <v>508.155569</v>
      </c>
    </row>
    <row r="30" ht="14.25" customHeight="1">
      <c r="A30" s="90">
        <v>4.0</v>
      </c>
      <c r="B30" s="90">
        <v>29.0</v>
      </c>
      <c r="C30" s="90">
        <v>218.7948</v>
      </c>
      <c r="D30" s="90">
        <f t="shared" si="7"/>
        <v>215.6712676</v>
      </c>
      <c r="E30" s="90">
        <f t="shared" si="8"/>
        <v>216.0602309</v>
      </c>
      <c r="F30" s="91">
        <f t="shared" si="9"/>
        <v>1.012656513</v>
      </c>
      <c r="G30" s="90">
        <v>0.99924241874904</v>
      </c>
      <c r="H30" s="90">
        <f t="shared" si="1"/>
        <v>218.9606805</v>
      </c>
      <c r="I30" s="90">
        <f t="shared" si="2"/>
        <v>195.0542726</v>
      </c>
      <c r="J30" s="90">
        <f t="shared" si="3"/>
        <v>194.9065031</v>
      </c>
      <c r="K30" s="90">
        <f t="shared" si="4"/>
        <v>1.122562852</v>
      </c>
      <c r="L30" s="90">
        <f t="shared" si="10"/>
        <v>1.105014099</v>
      </c>
      <c r="M30" s="90">
        <f t="shared" si="11"/>
        <v>1.015881022</v>
      </c>
      <c r="N30" s="90">
        <f t="shared" si="5"/>
        <v>23.88829691</v>
      </c>
      <c r="O30" s="90">
        <f t="shared" si="6"/>
        <v>570.6507291</v>
      </c>
    </row>
    <row r="31" ht="14.25" customHeight="1">
      <c r="A31" s="90">
        <v>5.0</v>
      </c>
      <c r="B31" s="90">
        <v>30.0</v>
      </c>
      <c r="C31" s="90">
        <v>217.051849</v>
      </c>
      <c r="D31" s="90">
        <f t="shared" si="7"/>
        <v>216.4491942</v>
      </c>
      <c r="E31" s="90">
        <f t="shared" si="8"/>
        <v>216.6510649</v>
      </c>
      <c r="F31" s="91">
        <f t="shared" si="9"/>
        <v>1.001849906</v>
      </c>
      <c r="G31" s="90">
        <v>0.9999484979028709</v>
      </c>
      <c r="H31" s="90">
        <f t="shared" si="1"/>
        <v>217.0630282</v>
      </c>
      <c r="I31" s="90">
        <f t="shared" si="2"/>
        <v>195.01363</v>
      </c>
      <c r="J31" s="90">
        <f t="shared" si="3"/>
        <v>195.0035864</v>
      </c>
      <c r="K31" s="90">
        <f t="shared" si="4"/>
        <v>1.113065934</v>
      </c>
      <c r="L31" s="90">
        <f t="shared" si="10"/>
        <v>1.109234885</v>
      </c>
      <c r="M31" s="90">
        <f t="shared" si="11"/>
        <v>1.003453776</v>
      </c>
      <c r="N31" s="90">
        <f t="shared" si="5"/>
        <v>22.04826262</v>
      </c>
      <c r="O31" s="90">
        <f t="shared" si="6"/>
        <v>486.1258844</v>
      </c>
    </row>
    <row r="32" ht="14.25" customHeight="1">
      <c r="A32" s="90">
        <v>1.0</v>
      </c>
      <c r="B32" s="90">
        <v>31.0</v>
      </c>
      <c r="C32" s="90">
        <v>221.512604</v>
      </c>
      <c r="D32" s="90">
        <f t="shared" si="7"/>
        <v>216.8529356</v>
      </c>
      <c r="E32" s="90">
        <f t="shared" si="8"/>
        <v>217.3374144</v>
      </c>
      <c r="F32" s="91">
        <f t="shared" si="9"/>
        <v>1.019210634</v>
      </c>
      <c r="G32" s="90">
        <v>1.0000594696143654</v>
      </c>
      <c r="H32" s="90">
        <f t="shared" si="1"/>
        <v>221.4994315</v>
      </c>
      <c r="I32" s="90">
        <f t="shared" si="2"/>
        <v>194.9729874</v>
      </c>
      <c r="J32" s="90">
        <f t="shared" si="3"/>
        <v>194.9845824</v>
      </c>
      <c r="K32" s="90">
        <f t="shared" si="4"/>
        <v>1.136051893</v>
      </c>
      <c r="L32" s="90">
        <f t="shared" si="10"/>
        <v>1.111534892</v>
      </c>
      <c r="M32" s="90">
        <f t="shared" si="11"/>
        <v>1.022056889</v>
      </c>
      <c r="N32" s="90">
        <f t="shared" si="5"/>
        <v>26.5280216</v>
      </c>
      <c r="O32" s="90">
        <f t="shared" si="6"/>
        <v>703.7359298</v>
      </c>
    </row>
    <row r="33" ht="14.25" customHeight="1">
      <c r="A33" s="90">
        <v>2.0</v>
      </c>
      <c r="B33" s="90">
        <v>32.0</v>
      </c>
      <c r="C33" s="90">
        <v>222.290543</v>
      </c>
      <c r="D33" s="90">
        <f t="shared" si="7"/>
        <v>217.8218932</v>
      </c>
      <c r="E33" s="90">
        <f t="shared" si="8"/>
        <v>218.6175445</v>
      </c>
      <c r="F33" s="91">
        <f t="shared" si="9"/>
        <v>1.016801023</v>
      </c>
      <c r="G33" s="90">
        <v>1.0018825920928427</v>
      </c>
      <c r="H33" s="90">
        <f t="shared" si="1"/>
        <v>221.8728469</v>
      </c>
      <c r="I33" s="90">
        <f t="shared" si="2"/>
        <v>194.9323449</v>
      </c>
      <c r="J33" s="90">
        <f t="shared" si="3"/>
        <v>195.299323</v>
      </c>
      <c r="K33" s="90">
        <f t="shared" si="4"/>
        <v>1.138204371</v>
      </c>
      <c r="L33" s="90">
        <f t="shared" si="10"/>
        <v>1.11673569</v>
      </c>
      <c r="M33" s="90">
        <f t="shared" si="11"/>
        <v>1.019224496</v>
      </c>
      <c r="N33" s="90">
        <f t="shared" si="5"/>
        <v>26.99122003</v>
      </c>
      <c r="O33" s="90">
        <f t="shared" si="6"/>
        <v>728.5259588</v>
      </c>
    </row>
    <row r="34" ht="14.25" customHeight="1">
      <c r="A34" s="90">
        <v>3.0</v>
      </c>
      <c r="B34" s="90">
        <v>33.0</v>
      </c>
      <c r="C34" s="90">
        <v>223.787323</v>
      </c>
      <c r="D34" s="90">
        <f t="shared" si="7"/>
        <v>219.4131958</v>
      </c>
      <c r="E34" s="90">
        <f t="shared" si="8"/>
        <v>220.0503098</v>
      </c>
      <c r="F34" s="91">
        <f t="shared" si="9"/>
        <v>1.01698254</v>
      </c>
      <c r="G34" s="90">
        <v>0.9988670216408811</v>
      </c>
      <c r="H34" s="90">
        <f t="shared" si="1"/>
        <v>224.0411568</v>
      </c>
      <c r="I34" s="90">
        <f t="shared" si="2"/>
        <v>194.8917023</v>
      </c>
      <c r="J34" s="90">
        <f t="shared" si="3"/>
        <v>194.6708942</v>
      </c>
      <c r="K34" s="90">
        <f t="shared" si="4"/>
        <v>1.149567448</v>
      </c>
      <c r="L34" s="90">
        <f t="shared" si="10"/>
        <v>1.125112288</v>
      </c>
      <c r="M34" s="90">
        <f t="shared" si="11"/>
        <v>1.02173575</v>
      </c>
      <c r="N34" s="90">
        <f t="shared" si="5"/>
        <v>29.11642876</v>
      </c>
      <c r="O34" s="90">
        <f t="shared" si="6"/>
        <v>847.7664239</v>
      </c>
    </row>
    <row r="35" ht="14.25" customHeight="1">
      <c r="A35" s="90">
        <v>4.0</v>
      </c>
      <c r="B35" s="90">
        <v>34.0</v>
      </c>
      <c r="C35" s="90">
        <v>225.776459</v>
      </c>
      <c r="D35" s="90">
        <f t="shared" si="7"/>
        <v>220.6874238</v>
      </c>
      <c r="E35" s="90">
        <f t="shared" si="8"/>
        <v>221.3855897</v>
      </c>
      <c r="F35" s="91">
        <f t="shared" si="9"/>
        <v>1.019833582</v>
      </c>
      <c r="G35" s="90">
        <v>0.99924241874904</v>
      </c>
      <c r="H35" s="90">
        <f t="shared" si="1"/>
        <v>225.9476327</v>
      </c>
      <c r="I35" s="90">
        <f t="shared" si="2"/>
        <v>194.8510598</v>
      </c>
      <c r="J35" s="90">
        <f t="shared" si="3"/>
        <v>194.7034442</v>
      </c>
      <c r="K35" s="90">
        <f t="shared" si="4"/>
        <v>1.1595915</v>
      </c>
      <c r="L35" s="90">
        <f t="shared" si="10"/>
        <v>1.1318905</v>
      </c>
      <c r="M35" s="90">
        <f t="shared" si="11"/>
        <v>1.024473216</v>
      </c>
      <c r="N35" s="90">
        <f t="shared" si="5"/>
        <v>31.07301475</v>
      </c>
      <c r="O35" s="90">
        <f t="shared" si="6"/>
        <v>965.5322457</v>
      </c>
    </row>
    <row r="36" ht="14.25" customHeight="1">
      <c r="A36" s="90">
        <v>5.0</v>
      </c>
      <c r="B36" s="90">
        <v>35.0</v>
      </c>
      <c r="C36" s="90">
        <v>228.523819</v>
      </c>
      <c r="D36" s="90">
        <f t="shared" si="7"/>
        <v>222.0837556</v>
      </c>
      <c r="E36" s="90">
        <f t="shared" si="8"/>
        <v>223.2309526</v>
      </c>
      <c r="F36" s="91">
        <f t="shared" si="9"/>
        <v>1.023710271</v>
      </c>
      <c r="G36" s="90">
        <v>0.9999484979028709</v>
      </c>
      <c r="H36" s="90">
        <f t="shared" si="1"/>
        <v>228.5355891</v>
      </c>
      <c r="I36" s="90">
        <f t="shared" si="2"/>
        <v>194.8104172</v>
      </c>
      <c r="J36" s="90">
        <f t="shared" si="3"/>
        <v>194.8003841</v>
      </c>
      <c r="K36" s="90">
        <f t="shared" si="4"/>
        <v>1.173117908</v>
      </c>
      <c r="L36" s="90">
        <f t="shared" si="10"/>
        <v>1.139296229</v>
      </c>
      <c r="M36" s="90">
        <f t="shared" si="11"/>
        <v>1.029686466</v>
      </c>
      <c r="N36" s="90">
        <f t="shared" si="5"/>
        <v>33.72343495</v>
      </c>
      <c r="O36" s="90">
        <f t="shared" si="6"/>
        <v>1137.270065</v>
      </c>
    </row>
    <row r="37" ht="14.25" customHeight="1">
      <c r="A37" s="90">
        <v>1.0</v>
      </c>
      <c r="B37" s="90">
        <v>36.0</v>
      </c>
      <c r="C37" s="90">
        <v>224.50618</v>
      </c>
      <c r="D37" s="90">
        <f t="shared" si="7"/>
        <v>224.3781496</v>
      </c>
      <c r="E37" s="90">
        <f t="shared" si="8"/>
        <v>224.6775072</v>
      </c>
      <c r="F37" s="91">
        <f t="shared" si="9"/>
        <v>0.9992374528</v>
      </c>
      <c r="G37" s="90">
        <v>1.0000594696143654</v>
      </c>
      <c r="H37" s="90">
        <f t="shared" si="1"/>
        <v>224.4928295</v>
      </c>
      <c r="I37" s="90">
        <f t="shared" si="2"/>
        <v>194.7697746</v>
      </c>
      <c r="J37" s="90">
        <f t="shared" si="3"/>
        <v>194.7813575</v>
      </c>
      <c r="K37" s="90">
        <f t="shared" si="4"/>
        <v>1.152606096</v>
      </c>
      <c r="L37" s="90">
        <f t="shared" si="10"/>
        <v>1.151306624</v>
      </c>
      <c r="M37" s="90">
        <f t="shared" si="11"/>
        <v>1.001128693</v>
      </c>
      <c r="N37" s="90">
        <f t="shared" si="5"/>
        <v>29.72482248</v>
      </c>
      <c r="O37" s="90">
        <f t="shared" si="6"/>
        <v>883.5650713</v>
      </c>
    </row>
    <row r="38" ht="14.25" customHeight="1">
      <c r="A38" s="90">
        <v>2.0</v>
      </c>
      <c r="B38" s="90">
        <v>37.0</v>
      </c>
      <c r="C38" s="90">
        <v>220.862717</v>
      </c>
      <c r="D38" s="90">
        <f t="shared" si="7"/>
        <v>224.9768648</v>
      </c>
      <c r="E38" s="90">
        <f t="shared" si="8"/>
        <v>224.8340822</v>
      </c>
      <c r="F38" s="91">
        <f t="shared" si="9"/>
        <v>0.9823364627</v>
      </c>
      <c r="G38" s="90">
        <v>1.0018825920928427</v>
      </c>
      <c r="H38" s="90">
        <f t="shared" si="1"/>
        <v>220.4477039</v>
      </c>
      <c r="I38" s="90">
        <f t="shared" si="2"/>
        <v>194.7291321</v>
      </c>
      <c r="J38" s="90">
        <f t="shared" si="3"/>
        <v>195.0957276</v>
      </c>
      <c r="K38" s="90">
        <f t="shared" si="4"/>
        <v>1.132073571</v>
      </c>
      <c r="L38" s="90">
        <f t="shared" si="10"/>
        <v>1.154617464</v>
      </c>
      <c r="M38" s="90">
        <f t="shared" si="11"/>
        <v>0.9804750107</v>
      </c>
      <c r="N38" s="90">
        <f t="shared" si="5"/>
        <v>25.76698939</v>
      </c>
      <c r="O38" s="90">
        <f t="shared" si="6"/>
        <v>663.9377425</v>
      </c>
    </row>
    <row r="39" ht="14.25" customHeight="1">
      <c r="A39" s="90">
        <v>3.0</v>
      </c>
      <c r="B39" s="90">
        <v>38.0</v>
      </c>
      <c r="C39" s="90">
        <v>220.350662</v>
      </c>
      <c r="D39" s="90">
        <f t="shared" si="7"/>
        <v>224.6912996</v>
      </c>
      <c r="E39" s="90">
        <f t="shared" si="8"/>
        <v>224.3476335</v>
      </c>
      <c r="F39" s="91">
        <f t="shared" si="9"/>
        <v>0.9821840265</v>
      </c>
      <c r="G39" s="90">
        <v>0.9988670216408811</v>
      </c>
      <c r="H39" s="90">
        <f t="shared" si="1"/>
        <v>220.6005977</v>
      </c>
      <c r="I39" s="90">
        <f t="shared" si="2"/>
        <v>194.6884895</v>
      </c>
      <c r="J39" s="90">
        <f t="shared" si="3"/>
        <v>194.4679117</v>
      </c>
      <c r="K39" s="90">
        <f t="shared" si="4"/>
        <v>1.133095224</v>
      </c>
      <c r="L39" s="90">
        <f t="shared" si="10"/>
        <v>1.153391304</v>
      </c>
      <c r="M39" s="90">
        <f t="shared" si="11"/>
        <v>0.9824031272</v>
      </c>
      <c r="N39" s="90">
        <f t="shared" si="5"/>
        <v>25.88275032</v>
      </c>
      <c r="O39" s="90">
        <f t="shared" si="6"/>
        <v>669.9167643</v>
      </c>
    </row>
    <row r="40" ht="14.25" customHeight="1">
      <c r="A40" s="90">
        <v>4.0</v>
      </c>
      <c r="B40" s="90">
        <v>39.0</v>
      </c>
      <c r="C40" s="90">
        <v>223.403275</v>
      </c>
      <c r="D40" s="90">
        <f t="shared" si="7"/>
        <v>224.0039674</v>
      </c>
      <c r="E40" s="90">
        <f t="shared" si="8"/>
        <v>223.766649</v>
      </c>
      <c r="F40" s="91">
        <f t="shared" si="9"/>
        <v>0.998376103</v>
      </c>
      <c r="G40" s="90">
        <v>0.99924241874904</v>
      </c>
      <c r="H40" s="90">
        <f t="shared" si="1"/>
        <v>223.5726494</v>
      </c>
      <c r="I40" s="90">
        <f t="shared" si="2"/>
        <v>194.647847</v>
      </c>
      <c r="J40" s="90">
        <f t="shared" si="3"/>
        <v>194.5003854</v>
      </c>
      <c r="K40" s="90">
        <f t="shared" si="4"/>
        <v>1.14860068</v>
      </c>
      <c r="L40" s="90">
        <f t="shared" si="10"/>
        <v>1.15009686</v>
      </c>
      <c r="M40" s="90">
        <f t="shared" si="11"/>
        <v>0.998699084</v>
      </c>
      <c r="N40" s="90">
        <f t="shared" si="5"/>
        <v>28.9028896</v>
      </c>
      <c r="O40" s="90">
        <f t="shared" si="6"/>
        <v>835.377027</v>
      </c>
    </row>
    <row r="41" ht="14.25" customHeight="1">
      <c r="A41" s="90">
        <v>5.0</v>
      </c>
      <c r="B41" s="90">
        <v>40.0</v>
      </c>
      <c r="C41" s="90">
        <v>213.053894</v>
      </c>
      <c r="D41" s="90">
        <f t="shared" si="7"/>
        <v>223.5293306</v>
      </c>
      <c r="E41" s="90">
        <f t="shared" si="8"/>
        <v>221.9823381</v>
      </c>
      <c r="F41" s="91">
        <f t="shared" si="9"/>
        <v>0.9597785834</v>
      </c>
      <c r="G41" s="90">
        <v>0.9999484979028709</v>
      </c>
      <c r="H41" s="90">
        <f t="shared" si="1"/>
        <v>213.0648673</v>
      </c>
      <c r="I41" s="90">
        <f t="shared" si="2"/>
        <v>194.6072044</v>
      </c>
      <c r="J41" s="90">
        <f t="shared" si="3"/>
        <v>194.5971817</v>
      </c>
      <c r="K41" s="90">
        <f t="shared" si="4"/>
        <v>1.094845733</v>
      </c>
      <c r="L41" s="90">
        <f t="shared" si="10"/>
        <v>1.147898696</v>
      </c>
      <c r="M41" s="90">
        <f t="shared" si="11"/>
        <v>0.9537825391</v>
      </c>
      <c r="N41" s="90">
        <f t="shared" si="5"/>
        <v>18.45671228</v>
      </c>
      <c r="O41" s="90">
        <f t="shared" si="6"/>
        <v>340.650228</v>
      </c>
    </row>
    <row r="42" ht="14.25" customHeight="1">
      <c r="A42" s="90">
        <v>1.0</v>
      </c>
      <c r="B42" s="90">
        <v>41.0</v>
      </c>
      <c r="C42" s="90">
        <v>211.173065</v>
      </c>
      <c r="D42" s="90">
        <f t="shared" si="7"/>
        <v>220.4353456</v>
      </c>
      <c r="E42" s="90">
        <f t="shared" si="8"/>
        <v>219.1020341</v>
      </c>
      <c r="F42" s="91">
        <f t="shared" si="9"/>
        <v>0.9638115222</v>
      </c>
      <c r="G42" s="90">
        <v>1.0000594696143654</v>
      </c>
      <c r="H42" s="90">
        <f t="shared" si="1"/>
        <v>211.1605074</v>
      </c>
      <c r="I42" s="90">
        <f t="shared" si="2"/>
        <v>194.5665618</v>
      </c>
      <c r="J42" s="90">
        <f t="shared" si="3"/>
        <v>194.5781326</v>
      </c>
      <c r="K42" s="90">
        <f t="shared" si="4"/>
        <v>1.085286728</v>
      </c>
      <c r="L42" s="90">
        <f t="shared" si="10"/>
        <v>1.132244261</v>
      </c>
      <c r="M42" s="90">
        <f t="shared" si="11"/>
        <v>0.9585270299</v>
      </c>
      <c r="N42" s="90">
        <f t="shared" si="5"/>
        <v>16.59493236</v>
      </c>
      <c r="O42" s="90">
        <f t="shared" si="6"/>
        <v>275.3917799</v>
      </c>
    </row>
    <row r="43" ht="14.25" customHeight="1">
      <c r="A43" s="90">
        <v>2.0</v>
      </c>
      <c r="B43" s="90">
        <v>42.0</v>
      </c>
      <c r="C43" s="90">
        <v>218.716034</v>
      </c>
      <c r="D43" s="90">
        <f t="shared" si="7"/>
        <v>217.7687226</v>
      </c>
      <c r="E43" s="90">
        <f t="shared" si="8"/>
        <v>217.5540543</v>
      </c>
      <c r="F43" s="91">
        <f t="shared" si="9"/>
        <v>1.005341108</v>
      </c>
      <c r="G43" s="90">
        <v>1.0018825920928427</v>
      </c>
      <c r="H43" s="90">
        <f t="shared" si="1"/>
        <v>218.3050546</v>
      </c>
      <c r="I43" s="90">
        <f t="shared" si="2"/>
        <v>194.5259193</v>
      </c>
      <c r="J43" s="90">
        <f t="shared" si="3"/>
        <v>194.8921322</v>
      </c>
      <c r="K43" s="90">
        <f t="shared" si="4"/>
        <v>1.122241475</v>
      </c>
      <c r="L43" s="90">
        <f t="shared" si="10"/>
        <v>1.118780387</v>
      </c>
      <c r="M43" s="90">
        <f t="shared" si="11"/>
        <v>1.003093626</v>
      </c>
      <c r="N43" s="90">
        <f t="shared" si="5"/>
        <v>23.82390176</v>
      </c>
      <c r="O43" s="90">
        <f t="shared" si="6"/>
        <v>567.5782949</v>
      </c>
    </row>
    <row r="44" ht="14.25" customHeight="1">
      <c r="A44" s="90">
        <v>3.0</v>
      </c>
      <c r="B44" s="90">
        <v>43.0</v>
      </c>
      <c r="C44" s="90">
        <v>214.038605</v>
      </c>
      <c r="D44" s="90">
        <f t="shared" si="7"/>
        <v>217.339386</v>
      </c>
      <c r="E44" s="90">
        <f t="shared" si="8"/>
        <v>216.7081803</v>
      </c>
      <c r="F44" s="91">
        <f t="shared" si="9"/>
        <v>0.9876812435</v>
      </c>
      <c r="G44" s="90">
        <v>0.9988670216408811</v>
      </c>
      <c r="H44" s="90">
        <f t="shared" si="1"/>
        <v>214.2813812</v>
      </c>
      <c r="I44" s="90">
        <f t="shared" si="2"/>
        <v>194.4852767</v>
      </c>
      <c r="J44" s="90">
        <f t="shared" si="3"/>
        <v>194.2649291</v>
      </c>
      <c r="K44" s="90">
        <f t="shared" si="4"/>
        <v>1.101787162</v>
      </c>
      <c r="L44" s="90">
        <f t="shared" si="10"/>
        <v>1.116813968</v>
      </c>
      <c r="M44" s="90">
        <f t="shared" si="11"/>
        <v>0.9865449338</v>
      </c>
      <c r="N44" s="90">
        <f t="shared" si="5"/>
        <v>19.77367588</v>
      </c>
      <c r="O44" s="90">
        <f t="shared" si="6"/>
        <v>390.9982579</v>
      </c>
    </row>
    <row r="45" ht="14.25" customHeight="1">
      <c r="A45" s="90">
        <v>4.0</v>
      </c>
      <c r="B45" s="90">
        <v>44.0</v>
      </c>
      <c r="C45" s="90">
        <v>218.755417</v>
      </c>
      <c r="D45" s="90">
        <f t="shared" si="7"/>
        <v>216.0769746</v>
      </c>
      <c r="E45" s="90">
        <f t="shared" si="8"/>
        <v>215.6121888</v>
      </c>
      <c r="F45" s="91">
        <f t="shared" si="9"/>
        <v>1.014578156</v>
      </c>
      <c r="G45" s="90">
        <v>0.99924241874904</v>
      </c>
      <c r="H45" s="90">
        <f t="shared" si="1"/>
        <v>218.9212676</v>
      </c>
      <c r="I45" s="90">
        <f t="shared" si="2"/>
        <v>194.4446342</v>
      </c>
      <c r="J45" s="90">
        <f t="shared" si="3"/>
        <v>194.2973266</v>
      </c>
      <c r="K45" s="90">
        <f t="shared" si="4"/>
        <v>1.125879707</v>
      </c>
      <c r="L45" s="90">
        <f t="shared" si="10"/>
        <v>1.110552356</v>
      </c>
      <c r="M45" s="90">
        <f t="shared" si="11"/>
        <v>1.013801556</v>
      </c>
      <c r="N45" s="90">
        <f t="shared" si="5"/>
        <v>24.45809044</v>
      </c>
      <c r="O45" s="90">
        <f t="shared" si="6"/>
        <v>598.1981881</v>
      </c>
    </row>
    <row r="46" ht="14.25" customHeight="1">
      <c r="A46" s="90">
        <v>5.0</v>
      </c>
      <c r="B46" s="90">
        <v>45.0</v>
      </c>
      <c r="C46" s="90">
        <v>217.810089</v>
      </c>
      <c r="D46" s="90">
        <f t="shared" si="7"/>
        <v>215.147403</v>
      </c>
      <c r="E46" s="90">
        <f t="shared" si="8"/>
        <v>215.6230225</v>
      </c>
      <c r="F46" s="91">
        <f t="shared" si="9"/>
        <v>1.01014301</v>
      </c>
      <c r="G46" s="90">
        <v>0.9999484979028709</v>
      </c>
      <c r="H46" s="90">
        <f t="shared" si="1"/>
        <v>217.8213073</v>
      </c>
      <c r="I46" s="90">
        <f t="shared" si="2"/>
        <v>194.4039916</v>
      </c>
      <c r="J46" s="90">
        <f t="shared" si="3"/>
        <v>194.3939794</v>
      </c>
      <c r="K46" s="90">
        <f t="shared" si="4"/>
        <v>1.120456969</v>
      </c>
      <c r="L46" s="90">
        <f t="shared" si="10"/>
        <v>1.106008161</v>
      </c>
      <c r="M46" s="90">
        <f t="shared" si="11"/>
        <v>1.013063926</v>
      </c>
      <c r="N46" s="90">
        <f t="shared" si="5"/>
        <v>23.41610961</v>
      </c>
      <c r="O46" s="90">
        <f t="shared" si="6"/>
        <v>548.314189</v>
      </c>
    </row>
    <row r="47" ht="14.25" customHeight="1">
      <c r="A47" s="90">
        <v>1.0</v>
      </c>
      <c r="B47" s="90">
        <v>46.0</v>
      </c>
      <c r="C47" s="90">
        <v>212.719086</v>
      </c>
      <c r="D47" s="90">
        <f t="shared" si="7"/>
        <v>216.098642</v>
      </c>
      <c r="E47" s="90">
        <f t="shared" si="8"/>
        <v>216.2532441</v>
      </c>
      <c r="F47" s="91">
        <f t="shared" si="9"/>
        <v>0.9836573175</v>
      </c>
      <c r="G47" s="90">
        <v>1.0000594696143654</v>
      </c>
      <c r="H47" s="90">
        <f t="shared" si="1"/>
        <v>212.7064364</v>
      </c>
      <c r="I47" s="90">
        <f t="shared" si="2"/>
        <v>194.363349</v>
      </c>
      <c r="J47" s="90">
        <f t="shared" si="3"/>
        <v>194.3749078</v>
      </c>
      <c r="K47" s="90">
        <f t="shared" si="4"/>
        <v>1.094375238</v>
      </c>
      <c r="L47" s="90">
        <f t="shared" si="10"/>
        <v>1.111130408</v>
      </c>
      <c r="M47" s="90">
        <f t="shared" si="11"/>
        <v>0.9849206088</v>
      </c>
      <c r="N47" s="90">
        <f t="shared" si="5"/>
        <v>18.34417824</v>
      </c>
      <c r="O47" s="90">
        <f t="shared" si="6"/>
        <v>336.5088752</v>
      </c>
    </row>
    <row r="48" ht="14.25" customHeight="1">
      <c r="A48" s="90">
        <v>2.0</v>
      </c>
      <c r="B48" s="90">
        <v>47.0</v>
      </c>
      <c r="C48" s="90">
        <v>215.958801</v>
      </c>
      <c r="D48" s="90">
        <f t="shared" si="7"/>
        <v>216.4078462</v>
      </c>
      <c r="E48" s="90">
        <f t="shared" si="8"/>
        <v>216.1321229</v>
      </c>
      <c r="F48" s="91">
        <f t="shared" si="9"/>
        <v>0.9991980743</v>
      </c>
      <c r="G48" s="90">
        <v>1.0018825920928427</v>
      </c>
      <c r="H48" s="90">
        <f t="shared" si="1"/>
        <v>215.5530026</v>
      </c>
      <c r="I48" s="90">
        <f t="shared" si="2"/>
        <v>194.3227065</v>
      </c>
      <c r="J48" s="90">
        <f t="shared" si="3"/>
        <v>194.6885369</v>
      </c>
      <c r="K48" s="90">
        <f t="shared" si="4"/>
        <v>1.109252781</v>
      </c>
      <c r="L48" s="90">
        <f t="shared" si="10"/>
        <v>1.11294811</v>
      </c>
      <c r="M48" s="90">
        <f t="shared" si="11"/>
        <v>0.9966796932</v>
      </c>
      <c r="N48" s="90">
        <f t="shared" si="5"/>
        <v>21.27026412</v>
      </c>
      <c r="O48" s="90">
        <f t="shared" si="6"/>
        <v>452.4241357</v>
      </c>
    </row>
    <row r="49" ht="14.25" customHeight="1">
      <c r="A49" s="90">
        <v>3.0</v>
      </c>
      <c r="B49" s="90">
        <v>48.0</v>
      </c>
      <c r="C49" s="90">
        <v>217.27832</v>
      </c>
      <c r="D49" s="90">
        <f t="shared" si="7"/>
        <v>215.8563996</v>
      </c>
      <c r="E49" s="90">
        <f t="shared" si="8"/>
        <v>216.1803711</v>
      </c>
      <c r="F49" s="91">
        <f t="shared" si="9"/>
        <v>1.005078856</v>
      </c>
      <c r="G49" s="90">
        <v>0.9988670216408811</v>
      </c>
      <c r="H49" s="90">
        <f t="shared" si="1"/>
        <v>217.5247709</v>
      </c>
      <c r="I49" s="90">
        <f t="shared" si="2"/>
        <v>194.2820639</v>
      </c>
      <c r="J49" s="90">
        <f t="shared" si="3"/>
        <v>194.0619466</v>
      </c>
      <c r="K49" s="90">
        <f t="shared" si="4"/>
        <v>1.119633828</v>
      </c>
      <c r="L49" s="90">
        <f t="shared" si="10"/>
        <v>1.110350372</v>
      </c>
      <c r="M49" s="90">
        <f t="shared" si="11"/>
        <v>1.008360835</v>
      </c>
      <c r="N49" s="90">
        <f t="shared" si="5"/>
        <v>23.21637344</v>
      </c>
      <c r="O49" s="90">
        <f t="shared" si="6"/>
        <v>538.9999959</v>
      </c>
    </row>
    <row r="50" ht="14.25" customHeight="1">
      <c r="A50" s="90">
        <v>4.0</v>
      </c>
      <c r="B50" s="90">
        <v>49.0</v>
      </c>
      <c r="C50" s="90">
        <v>219.326538</v>
      </c>
      <c r="D50" s="90">
        <f t="shared" si="7"/>
        <v>216.5043426</v>
      </c>
      <c r="E50" s="90">
        <f t="shared" si="8"/>
        <v>216.5614547</v>
      </c>
      <c r="F50" s="91">
        <f t="shared" si="9"/>
        <v>1.012768123</v>
      </c>
      <c r="G50" s="90">
        <v>0.99924241874904</v>
      </c>
      <c r="H50" s="90">
        <f t="shared" si="1"/>
        <v>219.4928216</v>
      </c>
      <c r="I50" s="90">
        <f t="shared" si="2"/>
        <v>194.2414214</v>
      </c>
      <c r="J50" s="90">
        <f t="shared" si="3"/>
        <v>194.0942677</v>
      </c>
      <c r="K50" s="90">
        <f t="shared" si="4"/>
        <v>1.13000008</v>
      </c>
      <c r="L50" s="90">
        <f t="shared" si="10"/>
        <v>1.113919705</v>
      </c>
      <c r="M50" s="90">
        <f t="shared" si="11"/>
        <v>1.014435848</v>
      </c>
      <c r="N50" s="90">
        <f t="shared" si="5"/>
        <v>25.23227029</v>
      </c>
      <c r="O50" s="90">
        <f t="shared" si="6"/>
        <v>636.6674639</v>
      </c>
    </row>
    <row r="51" ht="14.25" customHeight="1">
      <c r="A51" s="90">
        <v>5.0</v>
      </c>
      <c r="B51" s="90">
        <v>50.0</v>
      </c>
      <c r="C51" s="90">
        <v>211.803284</v>
      </c>
      <c r="D51" s="90">
        <f t="shared" si="7"/>
        <v>216.6185668</v>
      </c>
      <c r="E51" s="90">
        <f t="shared" si="8"/>
        <v>216.0178863</v>
      </c>
      <c r="F51" s="91">
        <f t="shared" si="9"/>
        <v>0.9804895679</v>
      </c>
      <c r="G51" s="90">
        <v>0.9999484979028709</v>
      </c>
      <c r="H51" s="90">
        <f t="shared" si="1"/>
        <v>211.8141929</v>
      </c>
      <c r="I51" s="90">
        <f t="shared" si="2"/>
        <v>194.2007788</v>
      </c>
      <c r="J51" s="90">
        <f t="shared" si="3"/>
        <v>194.1907771</v>
      </c>
      <c r="K51" s="90">
        <f t="shared" si="4"/>
        <v>1.090696928</v>
      </c>
      <c r="L51" s="90">
        <f t="shared" si="10"/>
        <v>1.114743779</v>
      </c>
      <c r="M51" s="90">
        <f t="shared" si="11"/>
        <v>0.9784283603</v>
      </c>
      <c r="N51" s="90">
        <f t="shared" si="5"/>
        <v>17.61250693</v>
      </c>
      <c r="O51" s="90">
        <f t="shared" si="6"/>
        <v>310.2004005</v>
      </c>
    </row>
    <row r="52" ht="14.25" customHeight="1">
      <c r="A52" s="90">
        <v>1.0</v>
      </c>
      <c r="B52" s="90">
        <v>51.0</v>
      </c>
      <c r="C52" s="90">
        <v>216.44133</v>
      </c>
      <c r="D52" s="90">
        <f t="shared" si="7"/>
        <v>215.4172058</v>
      </c>
      <c r="E52" s="90">
        <f t="shared" si="8"/>
        <v>215.7894302</v>
      </c>
      <c r="F52" s="91">
        <f t="shared" si="9"/>
        <v>1.003021</v>
      </c>
      <c r="G52" s="90">
        <v>1.0000594696143654</v>
      </c>
      <c r="H52" s="90">
        <f t="shared" si="1"/>
        <v>216.4284591</v>
      </c>
      <c r="I52" s="90">
        <f t="shared" si="2"/>
        <v>194.1601363</v>
      </c>
      <c r="J52" s="90">
        <f t="shared" si="3"/>
        <v>194.1716829</v>
      </c>
      <c r="K52" s="90">
        <f t="shared" si="4"/>
        <v>1.114690499</v>
      </c>
      <c r="L52" s="90">
        <f t="shared" si="10"/>
        <v>1.108791771</v>
      </c>
      <c r="M52" s="90">
        <f t="shared" si="11"/>
        <v>1.00531996</v>
      </c>
      <c r="N52" s="90">
        <f t="shared" si="5"/>
        <v>22.26964712</v>
      </c>
      <c r="O52" s="90">
        <f t="shared" si="6"/>
        <v>495.9371828</v>
      </c>
    </row>
    <row r="53" ht="14.25" customHeight="1">
      <c r="A53" s="90">
        <v>2.0</v>
      </c>
      <c r="B53" s="90">
        <v>52.0</v>
      </c>
      <c r="C53" s="90">
        <v>212.994797</v>
      </c>
      <c r="D53" s="90">
        <f t="shared" si="7"/>
        <v>216.1616546</v>
      </c>
      <c r="E53" s="90">
        <f t="shared" si="8"/>
        <v>215.8652542</v>
      </c>
      <c r="F53" s="91">
        <f t="shared" si="9"/>
        <v>0.986702551</v>
      </c>
      <c r="G53" s="90">
        <v>1.0018825920928427</v>
      </c>
      <c r="H53" s="90">
        <f t="shared" si="1"/>
        <v>212.5945681</v>
      </c>
      <c r="I53" s="90">
        <f t="shared" si="2"/>
        <v>194.1194937</v>
      </c>
      <c r="J53" s="90">
        <f t="shared" si="3"/>
        <v>194.4849415</v>
      </c>
      <c r="K53" s="90">
        <f t="shared" si="4"/>
        <v>1.095173721</v>
      </c>
      <c r="L53" s="90">
        <f t="shared" si="10"/>
        <v>1.112854823</v>
      </c>
      <c r="M53" s="90">
        <f t="shared" si="11"/>
        <v>0.9841119416</v>
      </c>
      <c r="N53" s="90">
        <f t="shared" si="5"/>
        <v>18.50985548</v>
      </c>
      <c r="O53" s="90">
        <f t="shared" si="6"/>
        <v>342.61475</v>
      </c>
    </row>
    <row r="54" ht="14.25" customHeight="1">
      <c r="A54" s="90">
        <v>3.0</v>
      </c>
      <c r="B54" s="90">
        <v>53.0</v>
      </c>
      <c r="C54" s="90">
        <v>208.996857</v>
      </c>
      <c r="D54" s="90">
        <f t="shared" si="7"/>
        <v>215.5688538</v>
      </c>
      <c r="E54" s="90">
        <f t="shared" si="8"/>
        <v>214.7407075</v>
      </c>
      <c r="F54" s="91">
        <f t="shared" si="9"/>
        <v>0.9732521581</v>
      </c>
      <c r="G54" s="90">
        <v>0.9988670216408811</v>
      </c>
      <c r="H54" s="90">
        <f t="shared" si="1"/>
        <v>209.2339145</v>
      </c>
      <c r="I54" s="90">
        <f t="shared" si="2"/>
        <v>194.0788511</v>
      </c>
      <c r="J54" s="90">
        <f t="shared" si="3"/>
        <v>193.858964</v>
      </c>
      <c r="K54" s="90">
        <f t="shared" si="4"/>
        <v>1.078087145</v>
      </c>
      <c r="L54" s="90">
        <f t="shared" si="10"/>
        <v>1.110039011</v>
      </c>
      <c r="M54" s="90">
        <f t="shared" si="11"/>
        <v>0.9712155467</v>
      </c>
      <c r="N54" s="90">
        <f t="shared" si="5"/>
        <v>15.137893</v>
      </c>
      <c r="O54" s="90">
        <f t="shared" si="6"/>
        <v>229.1558046</v>
      </c>
    </row>
    <row r="55" ht="14.25" customHeight="1">
      <c r="A55" s="90">
        <v>4.0</v>
      </c>
      <c r="B55" s="90">
        <v>54.0</v>
      </c>
      <c r="C55" s="90">
        <v>210.040649</v>
      </c>
      <c r="D55" s="90">
        <f t="shared" si="7"/>
        <v>213.9125612</v>
      </c>
      <c r="E55" s="90">
        <f t="shared" si="8"/>
        <v>212.9839723</v>
      </c>
      <c r="F55" s="91">
        <f t="shared" si="9"/>
        <v>0.9861805409</v>
      </c>
      <c r="G55" s="90">
        <v>0.99924241874904</v>
      </c>
      <c r="H55" s="90">
        <f t="shared" si="1"/>
        <v>210.1998925</v>
      </c>
      <c r="I55" s="90">
        <f t="shared" si="2"/>
        <v>194.0382086</v>
      </c>
      <c r="J55" s="90">
        <f t="shared" si="3"/>
        <v>193.8912089</v>
      </c>
      <c r="K55" s="90">
        <f t="shared" si="4"/>
        <v>1.083291245</v>
      </c>
      <c r="L55" s="90">
        <f t="shared" si="10"/>
        <v>1.101729674</v>
      </c>
      <c r="M55" s="90">
        <f t="shared" si="11"/>
        <v>0.9832641073</v>
      </c>
      <c r="N55" s="90">
        <f t="shared" si="5"/>
        <v>16.14944013</v>
      </c>
      <c r="O55" s="90">
        <f t="shared" si="6"/>
        <v>260.8044166</v>
      </c>
    </row>
    <row r="56" ht="14.25" customHeight="1">
      <c r="A56" s="90">
        <v>5.0</v>
      </c>
      <c r="B56" s="90">
        <v>55.0</v>
      </c>
      <c r="C56" s="90">
        <v>215.515686</v>
      </c>
      <c r="D56" s="90">
        <f t="shared" si="7"/>
        <v>212.0553834</v>
      </c>
      <c r="E56" s="90">
        <f t="shared" si="8"/>
        <v>212.4266236</v>
      </c>
      <c r="F56" s="91">
        <f t="shared" si="9"/>
        <v>1.014541786</v>
      </c>
      <c r="G56" s="90">
        <v>0.9999484979028709</v>
      </c>
      <c r="H56" s="90">
        <f t="shared" si="1"/>
        <v>215.5267861</v>
      </c>
      <c r="I56" s="90">
        <f t="shared" si="2"/>
        <v>193.997566</v>
      </c>
      <c r="J56" s="90">
        <f t="shared" si="3"/>
        <v>193.9875747</v>
      </c>
      <c r="K56" s="90">
        <f t="shared" si="4"/>
        <v>1.110976754</v>
      </c>
      <c r="L56" s="90">
        <f t="shared" si="10"/>
        <v>1.092387907</v>
      </c>
      <c r="M56" s="90">
        <f t="shared" si="11"/>
        <v>1.017016708</v>
      </c>
      <c r="N56" s="90">
        <f t="shared" si="5"/>
        <v>21.52811126</v>
      </c>
      <c r="O56" s="90">
        <f t="shared" si="6"/>
        <v>463.4595746</v>
      </c>
    </row>
    <row r="57" ht="14.25" customHeight="1">
      <c r="A57" s="90">
        <v>1.0</v>
      </c>
      <c r="B57" s="90">
        <v>56.0</v>
      </c>
      <c r="C57" s="90">
        <v>218.824341</v>
      </c>
      <c r="D57" s="90">
        <f t="shared" si="7"/>
        <v>212.7978638</v>
      </c>
      <c r="E57" s="90">
        <f t="shared" si="8"/>
        <v>213.0361649</v>
      </c>
      <c r="F57" s="91">
        <f t="shared" si="9"/>
        <v>1.027169923</v>
      </c>
      <c r="G57" s="90">
        <v>1.0000594696143654</v>
      </c>
      <c r="H57" s="90">
        <f t="shared" si="1"/>
        <v>218.8113284</v>
      </c>
      <c r="I57" s="90">
        <f t="shared" si="2"/>
        <v>193.9569235</v>
      </c>
      <c r="J57" s="90">
        <f t="shared" si="3"/>
        <v>193.968458</v>
      </c>
      <c r="K57" s="90">
        <f t="shared" si="4"/>
        <v>1.128143943</v>
      </c>
      <c r="L57" s="90">
        <f t="shared" si="10"/>
        <v>1.096443872</v>
      </c>
      <c r="M57" s="90">
        <f t="shared" si="11"/>
        <v>1.028911713</v>
      </c>
      <c r="N57" s="90">
        <f t="shared" si="5"/>
        <v>24.855883</v>
      </c>
      <c r="O57" s="90">
        <f t="shared" si="6"/>
        <v>617.8149196</v>
      </c>
    </row>
    <row r="58" ht="14.25" customHeight="1">
      <c r="A58" s="90">
        <v>2.0</v>
      </c>
      <c r="B58" s="90">
        <v>57.0</v>
      </c>
      <c r="C58" s="90">
        <v>204.30957</v>
      </c>
      <c r="D58" s="90">
        <f t="shared" si="7"/>
        <v>213.274466</v>
      </c>
      <c r="E58" s="90">
        <f t="shared" si="8"/>
        <v>212.4059433</v>
      </c>
      <c r="F58" s="91">
        <f t="shared" si="9"/>
        <v>0.9618825482</v>
      </c>
      <c r="G58" s="90">
        <v>1.0018825920928427</v>
      </c>
      <c r="H58" s="90">
        <f t="shared" si="1"/>
        <v>203.9256612</v>
      </c>
      <c r="I58" s="90">
        <f t="shared" si="2"/>
        <v>193.9162809</v>
      </c>
      <c r="J58" s="90">
        <f t="shared" si="3"/>
        <v>194.2813462</v>
      </c>
      <c r="K58" s="90">
        <f t="shared" si="4"/>
        <v>1.051617019</v>
      </c>
      <c r="L58" s="90">
        <f t="shared" si="10"/>
        <v>1.099134561</v>
      </c>
      <c r="M58" s="90">
        <f t="shared" si="11"/>
        <v>0.9567682207</v>
      </c>
      <c r="N58" s="90">
        <f t="shared" si="5"/>
        <v>10.02822384</v>
      </c>
      <c r="O58" s="90">
        <f t="shared" si="6"/>
        <v>100.5652735</v>
      </c>
    </row>
    <row r="59" ht="14.25" customHeight="1">
      <c r="A59" s="90">
        <v>3.0</v>
      </c>
      <c r="B59" s="90">
        <v>58.0</v>
      </c>
      <c r="C59" s="90">
        <v>198.509583</v>
      </c>
      <c r="D59" s="90">
        <f t="shared" si="7"/>
        <v>211.5374206</v>
      </c>
      <c r="E59" s="90">
        <f t="shared" si="8"/>
        <v>210.4886932</v>
      </c>
      <c r="F59" s="91">
        <f t="shared" si="9"/>
        <v>0.9430890561</v>
      </c>
      <c r="G59" s="90">
        <v>0.9988670216408811</v>
      </c>
      <c r="H59" s="90">
        <f t="shared" si="1"/>
        <v>198.7347452</v>
      </c>
      <c r="I59" s="90">
        <f t="shared" si="2"/>
        <v>193.8756383</v>
      </c>
      <c r="J59" s="90">
        <f t="shared" si="3"/>
        <v>193.6559814</v>
      </c>
      <c r="K59" s="90">
        <f t="shared" si="4"/>
        <v>1.025063009</v>
      </c>
      <c r="L59" s="90">
        <f t="shared" si="10"/>
        <v>1.090423221</v>
      </c>
      <c r="M59" s="90">
        <f t="shared" si="11"/>
        <v>0.940059776</v>
      </c>
      <c r="N59" s="90">
        <f t="shared" si="5"/>
        <v>4.853601563</v>
      </c>
      <c r="O59" s="90">
        <f t="shared" si="6"/>
        <v>23.55744813</v>
      </c>
    </row>
    <row r="60" ht="14.25" customHeight="1">
      <c r="A60" s="90">
        <v>4.0</v>
      </c>
      <c r="B60" s="90">
        <v>59.0</v>
      </c>
      <c r="C60" s="90">
        <v>200.656265</v>
      </c>
      <c r="D60" s="90">
        <f t="shared" si="7"/>
        <v>209.4399658</v>
      </c>
      <c r="E60" s="90">
        <f t="shared" si="8"/>
        <v>208.5015274</v>
      </c>
      <c r="F60" s="91">
        <f t="shared" si="9"/>
        <v>0.9623731178</v>
      </c>
      <c r="G60" s="90">
        <v>0.99924241874904</v>
      </c>
      <c r="H60" s="90">
        <f t="shared" si="1"/>
        <v>200.8083937</v>
      </c>
      <c r="I60" s="90">
        <f t="shared" si="2"/>
        <v>193.8349958</v>
      </c>
      <c r="J60" s="90">
        <f t="shared" si="3"/>
        <v>193.68815</v>
      </c>
      <c r="K60" s="90">
        <f t="shared" si="4"/>
        <v>1.035975949</v>
      </c>
      <c r="L60" s="90">
        <f t="shared" si="10"/>
        <v>1.079818394</v>
      </c>
      <c r="M60" s="90">
        <f t="shared" si="11"/>
        <v>0.9593983163</v>
      </c>
      <c r="N60" s="90">
        <f t="shared" si="5"/>
        <v>6.968114978</v>
      </c>
      <c r="O60" s="90">
        <f t="shared" si="6"/>
        <v>48.55462635</v>
      </c>
    </row>
    <row r="61" ht="14.25" customHeight="1">
      <c r="A61" s="90">
        <v>5.0</v>
      </c>
      <c r="B61" s="90">
        <v>60.0</v>
      </c>
      <c r="C61" s="90">
        <v>206.741821</v>
      </c>
      <c r="D61" s="90">
        <f t="shared" si="7"/>
        <v>207.563089</v>
      </c>
      <c r="E61" s="90">
        <f t="shared" si="8"/>
        <v>206.6857025</v>
      </c>
      <c r="F61" s="91">
        <f t="shared" si="9"/>
        <v>1.000271516</v>
      </c>
      <c r="G61" s="90">
        <v>0.9999484979028709</v>
      </c>
      <c r="H61" s="90">
        <f t="shared" si="1"/>
        <v>206.7524692</v>
      </c>
      <c r="I61" s="90">
        <f t="shared" si="2"/>
        <v>193.7943532</v>
      </c>
      <c r="J61" s="90">
        <f t="shared" si="3"/>
        <v>193.7843724</v>
      </c>
      <c r="K61" s="90">
        <f t="shared" si="4"/>
        <v>1.066865292</v>
      </c>
      <c r="L61" s="90">
        <f t="shared" si="10"/>
        <v>1.070355335</v>
      </c>
      <c r="M61" s="90">
        <f t="shared" si="11"/>
        <v>0.9967393606</v>
      </c>
      <c r="N61" s="90">
        <f t="shared" si="5"/>
        <v>12.95744859</v>
      </c>
      <c r="O61" s="90">
        <f t="shared" si="6"/>
        <v>167.8954741</v>
      </c>
    </row>
    <row r="62" ht="14.25" customHeight="1">
      <c r="A62" s="90">
        <v>1.0</v>
      </c>
      <c r="B62" s="90">
        <v>61.0</v>
      </c>
      <c r="C62" s="90">
        <v>206.020493</v>
      </c>
      <c r="D62" s="90">
        <f t="shared" si="7"/>
        <v>205.808316</v>
      </c>
      <c r="E62" s="90">
        <f t="shared" si="8"/>
        <v>204.5279312</v>
      </c>
      <c r="F62" s="91">
        <f t="shared" si="9"/>
        <v>1.007297594</v>
      </c>
      <c r="G62" s="90">
        <v>1.0000594696143654</v>
      </c>
      <c r="H62" s="90">
        <f t="shared" si="1"/>
        <v>206.0082418</v>
      </c>
      <c r="I62" s="90">
        <f t="shared" si="2"/>
        <v>193.7537107</v>
      </c>
      <c r="J62" s="90">
        <f t="shared" si="3"/>
        <v>193.7652331</v>
      </c>
      <c r="K62" s="90">
        <f t="shared" si="4"/>
        <v>1.063247981</v>
      </c>
      <c r="L62" s="90">
        <f t="shared" si="10"/>
        <v>1.061533042</v>
      </c>
      <c r="M62" s="90">
        <f t="shared" si="11"/>
        <v>1.001615531</v>
      </c>
      <c r="N62" s="90">
        <f t="shared" si="5"/>
        <v>12.25525988</v>
      </c>
      <c r="O62" s="90">
        <f t="shared" si="6"/>
        <v>150.1913947</v>
      </c>
    </row>
    <row r="63" ht="14.25" customHeight="1">
      <c r="A63" s="90">
        <v>2.0</v>
      </c>
      <c r="B63" s="90">
        <v>62.0</v>
      </c>
      <c r="C63" s="90">
        <v>202.048096</v>
      </c>
      <c r="D63" s="90">
        <f t="shared" si="7"/>
        <v>203.2475464</v>
      </c>
      <c r="E63" s="90">
        <f t="shared" si="8"/>
        <v>203.021399</v>
      </c>
      <c r="F63" s="91">
        <f t="shared" si="9"/>
        <v>0.9952059093</v>
      </c>
      <c r="G63" s="90">
        <v>1.0018825920928427</v>
      </c>
      <c r="H63" s="90">
        <f t="shared" si="1"/>
        <v>201.6684366</v>
      </c>
      <c r="I63" s="90">
        <f t="shared" si="2"/>
        <v>193.7130681</v>
      </c>
      <c r="J63" s="90">
        <f t="shared" si="3"/>
        <v>194.0777508</v>
      </c>
      <c r="K63" s="90">
        <f t="shared" si="4"/>
        <v>1.041067795</v>
      </c>
      <c r="L63" s="90">
        <f t="shared" si="10"/>
        <v>1.04855385</v>
      </c>
      <c r="M63" s="90">
        <f t="shared" si="11"/>
        <v>0.9928605905</v>
      </c>
      <c r="N63" s="90">
        <f t="shared" si="5"/>
        <v>7.970345207</v>
      </c>
      <c r="O63" s="90">
        <f t="shared" si="6"/>
        <v>63.52640271</v>
      </c>
    </row>
    <row r="64" ht="14.25" customHeight="1">
      <c r="A64" s="90">
        <v>3.0</v>
      </c>
      <c r="B64" s="90">
        <v>63.0</v>
      </c>
      <c r="C64" s="90">
        <v>191.870087</v>
      </c>
      <c r="D64" s="90">
        <f t="shared" si="7"/>
        <v>202.7952516</v>
      </c>
      <c r="E64" s="90">
        <f t="shared" si="8"/>
        <v>202.131302</v>
      </c>
      <c r="F64" s="91">
        <f t="shared" si="9"/>
        <v>0.9492349038</v>
      </c>
      <c r="G64" s="90">
        <v>0.9988670216408811</v>
      </c>
      <c r="H64" s="90">
        <f t="shared" si="1"/>
        <v>192.0877182</v>
      </c>
      <c r="I64" s="90">
        <f t="shared" si="2"/>
        <v>193.6724255</v>
      </c>
      <c r="J64" s="90">
        <f t="shared" si="3"/>
        <v>193.4529989</v>
      </c>
      <c r="K64" s="90">
        <f t="shared" si="4"/>
        <v>0.9918175894</v>
      </c>
      <c r="L64" s="90">
        <f t="shared" si="10"/>
        <v>1.046444005</v>
      </c>
      <c r="M64" s="90">
        <f t="shared" si="11"/>
        <v>0.9477980518</v>
      </c>
      <c r="N64" s="90">
        <f t="shared" si="5"/>
        <v>-1.582911877</v>
      </c>
      <c r="O64" s="90">
        <f t="shared" si="6"/>
        <v>2.505610011</v>
      </c>
    </row>
    <row r="65" ht="14.25" customHeight="1">
      <c r="A65" s="90">
        <v>4.0</v>
      </c>
      <c r="B65" s="90">
        <v>64.0</v>
      </c>
      <c r="C65" s="90">
        <v>189.953079</v>
      </c>
      <c r="D65" s="90">
        <f t="shared" si="7"/>
        <v>201.4673524</v>
      </c>
      <c r="E65" s="90">
        <f t="shared" si="8"/>
        <v>200.3970338</v>
      </c>
      <c r="F65" s="91">
        <f t="shared" si="9"/>
        <v>0.9478836857</v>
      </c>
      <c r="G65" s="90">
        <v>0.99924241874904</v>
      </c>
      <c r="H65" s="90">
        <f t="shared" si="1"/>
        <v>190.097093</v>
      </c>
      <c r="I65" s="90">
        <f t="shared" si="2"/>
        <v>193.631783</v>
      </c>
      <c r="J65" s="90">
        <f t="shared" si="3"/>
        <v>193.4850912</v>
      </c>
      <c r="K65" s="90">
        <f t="shared" si="4"/>
        <v>0.9817453006</v>
      </c>
      <c r="L65" s="90">
        <f t="shared" si="10"/>
        <v>1.039794921</v>
      </c>
      <c r="M65" s="90">
        <f t="shared" si="11"/>
        <v>0.9441720483</v>
      </c>
      <c r="N65" s="90">
        <f t="shared" si="5"/>
        <v>-3.532012176</v>
      </c>
      <c r="O65" s="90">
        <f t="shared" si="6"/>
        <v>12.47511001</v>
      </c>
    </row>
    <row r="66" ht="14.25" customHeight="1">
      <c r="A66" s="90">
        <v>5.0</v>
      </c>
      <c r="B66" s="90">
        <v>65.0</v>
      </c>
      <c r="C66" s="90">
        <v>184.587402</v>
      </c>
      <c r="D66" s="90">
        <f t="shared" si="7"/>
        <v>199.3267152</v>
      </c>
      <c r="E66" s="90">
        <f t="shared" si="8"/>
        <v>197.1112733</v>
      </c>
      <c r="F66" s="91">
        <f t="shared" si="9"/>
        <v>0.9364629375</v>
      </c>
      <c r="G66" s="90">
        <v>0.9999484979028709</v>
      </c>
      <c r="H66" s="90">
        <f t="shared" si="1"/>
        <v>184.5969091</v>
      </c>
      <c r="I66" s="90">
        <f t="shared" si="2"/>
        <v>193.5911404</v>
      </c>
      <c r="J66" s="90">
        <f t="shared" si="3"/>
        <v>193.5811701</v>
      </c>
      <c r="K66" s="90">
        <f t="shared" si="4"/>
        <v>0.9535400676</v>
      </c>
      <c r="L66" s="90">
        <f t="shared" si="10"/>
        <v>1.028948792</v>
      </c>
      <c r="M66" s="90">
        <f t="shared" si="11"/>
        <v>0.9267128505</v>
      </c>
      <c r="N66" s="90">
        <f t="shared" si="5"/>
        <v>-8.993768076</v>
      </c>
      <c r="O66" s="90">
        <f t="shared" si="6"/>
        <v>80.88786421</v>
      </c>
    </row>
    <row r="67" ht="14.25" customHeight="1">
      <c r="A67" s="90">
        <v>1.0</v>
      </c>
      <c r="B67" s="90">
        <v>66.0</v>
      </c>
      <c r="C67" s="90">
        <v>189.142792</v>
      </c>
      <c r="D67" s="90">
        <f t="shared" si="7"/>
        <v>194.8958314</v>
      </c>
      <c r="E67" s="90">
        <f t="shared" si="8"/>
        <v>193.2080613</v>
      </c>
      <c r="F67" s="91">
        <f t="shared" si="9"/>
        <v>0.9789591114</v>
      </c>
      <c r="G67" s="90">
        <v>1.0000594696143654</v>
      </c>
      <c r="H67" s="90">
        <f t="shared" si="1"/>
        <v>189.1315444</v>
      </c>
      <c r="I67" s="90">
        <f t="shared" si="2"/>
        <v>193.5504979</v>
      </c>
      <c r="J67" s="90">
        <f t="shared" si="3"/>
        <v>193.5620082</v>
      </c>
      <c r="K67" s="90">
        <f t="shared" si="4"/>
        <v>0.9771689895</v>
      </c>
      <c r="L67" s="90">
        <f t="shared" si="10"/>
        <v>1.006283747</v>
      </c>
      <c r="M67" s="90">
        <f t="shared" si="11"/>
        <v>0.9710670501</v>
      </c>
      <c r="N67" s="90">
        <f t="shared" si="5"/>
        <v>-4.41921624</v>
      </c>
      <c r="O67" s="90">
        <f t="shared" si="6"/>
        <v>19.52947218</v>
      </c>
    </row>
    <row r="68" ht="14.25" customHeight="1">
      <c r="A68" s="90">
        <v>2.0</v>
      </c>
      <c r="B68" s="90">
        <v>67.0</v>
      </c>
      <c r="C68" s="90">
        <v>191.237686</v>
      </c>
      <c r="D68" s="90">
        <f t="shared" si="7"/>
        <v>191.5202912</v>
      </c>
      <c r="E68" s="90">
        <f t="shared" si="8"/>
        <v>190.4392502</v>
      </c>
      <c r="F68" s="91">
        <f t="shared" si="9"/>
        <v>1.004192601</v>
      </c>
      <c r="G68" s="90">
        <v>1.0018825920928427</v>
      </c>
      <c r="H68" s="90">
        <f t="shared" si="1"/>
        <v>190.8783399</v>
      </c>
      <c r="I68" s="90">
        <f t="shared" si="2"/>
        <v>193.5098553</v>
      </c>
      <c r="J68" s="90">
        <f t="shared" si="3"/>
        <v>193.8741554</v>
      </c>
      <c r="K68" s="90">
        <f t="shared" si="4"/>
        <v>0.98640113</v>
      </c>
      <c r="L68" s="90">
        <f t="shared" si="10"/>
        <v>0.9890679483</v>
      </c>
      <c r="M68" s="90">
        <f t="shared" si="11"/>
        <v>0.9973037057</v>
      </c>
      <c r="N68" s="90">
        <f t="shared" si="5"/>
        <v>-2.636469431</v>
      </c>
      <c r="O68" s="90">
        <f t="shared" si="6"/>
        <v>6.950971061</v>
      </c>
    </row>
    <row r="69" ht="14.25" customHeight="1">
      <c r="A69" s="90">
        <v>3.0</v>
      </c>
      <c r="B69" s="90">
        <v>68.0</v>
      </c>
      <c r="C69" s="90">
        <v>183.658539</v>
      </c>
      <c r="D69" s="90">
        <f t="shared" si="7"/>
        <v>189.3582092</v>
      </c>
      <c r="E69" s="90">
        <f t="shared" si="8"/>
        <v>188.5370544</v>
      </c>
      <c r="F69" s="91">
        <f t="shared" si="9"/>
        <v>0.9741243682</v>
      </c>
      <c r="G69" s="90">
        <v>0.9988670216408811</v>
      </c>
      <c r="H69" s="90">
        <f t="shared" si="1"/>
        <v>183.8668562</v>
      </c>
      <c r="I69" s="90">
        <f t="shared" si="2"/>
        <v>193.4692127</v>
      </c>
      <c r="J69" s="90">
        <f t="shared" si="3"/>
        <v>193.2500163</v>
      </c>
      <c r="K69" s="90">
        <f t="shared" si="4"/>
        <v>0.9503675213</v>
      </c>
      <c r="L69" s="90">
        <f t="shared" si="10"/>
        <v>0.9781346154</v>
      </c>
      <c r="M69" s="90">
        <f t="shared" si="11"/>
        <v>0.9716121956</v>
      </c>
      <c r="N69" s="90">
        <f t="shared" si="5"/>
        <v>-9.591477317</v>
      </c>
      <c r="O69" s="90">
        <f t="shared" si="6"/>
        <v>91.99643713</v>
      </c>
    </row>
    <row r="70" ht="14.25" customHeight="1">
      <c r="A70" s="90">
        <v>4.0</v>
      </c>
      <c r="B70" s="90">
        <v>69.0</v>
      </c>
      <c r="C70" s="90">
        <v>174.883713</v>
      </c>
      <c r="D70" s="90">
        <f t="shared" si="7"/>
        <v>187.7158996</v>
      </c>
      <c r="E70" s="90">
        <f t="shared" si="8"/>
        <v>186.208963</v>
      </c>
      <c r="F70" s="91">
        <f t="shared" si="9"/>
        <v>0.9391798879</v>
      </c>
      <c r="G70" s="90">
        <v>0.99924241874904</v>
      </c>
      <c r="H70" s="90">
        <f t="shared" si="1"/>
        <v>175.0163021</v>
      </c>
      <c r="I70" s="90">
        <f t="shared" si="2"/>
        <v>193.4285702</v>
      </c>
      <c r="J70" s="90">
        <f t="shared" si="3"/>
        <v>193.2820323</v>
      </c>
      <c r="K70" s="90">
        <f t="shared" si="4"/>
        <v>0.9048110209</v>
      </c>
      <c r="L70" s="90">
        <f t="shared" si="10"/>
        <v>0.9698446018</v>
      </c>
      <c r="M70" s="90">
        <f t="shared" si="11"/>
        <v>0.9329443286</v>
      </c>
      <c r="N70" s="90">
        <f t="shared" si="5"/>
        <v>-18.39831933</v>
      </c>
      <c r="O70" s="90">
        <f t="shared" si="6"/>
        <v>338.4981542</v>
      </c>
    </row>
    <row r="71" ht="14.25" customHeight="1">
      <c r="A71" s="90">
        <v>5.0</v>
      </c>
      <c r="B71" s="90">
        <v>70.0</v>
      </c>
      <c r="C71" s="90">
        <v>174.686081</v>
      </c>
      <c r="D71" s="90">
        <f t="shared" si="7"/>
        <v>184.7020264</v>
      </c>
      <c r="E71" s="90">
        <f t="shared" si="8"/>
        <v>183.7118943</v>
      </c>
      <c r="F71" s="91">
        <f t="shared" si="9"/>
        <v>0.9508697391</v>
      </c>
      <c r="G71" s="90">
        <v>0.9999484979028709</v>
      </c>
      <c r="H71" s="90">
        <f t="shared" si="1"/>
        <v>174.6950782</v>
      </c>
      <c r="I71" s="90">
        <f t="shared" si="2"/>
        <v>193.3879276</v>
      </c>
      <c r="J71" s="90">
        <f t="shared" si="3"/>
        <v>193.3779677</v>
      </c>
      <c r="K71" s="90">
        <f t="shared" si="4"/>
        <v>0.9033401428</v>
      </c>
      <c r="L71" s="90">
        <f t="shared" si="10"/>
        <v>0.9544577459</v>
      </c>
      <c r="M71" s="90">
        <f t="shared" si="11"/>
        <v>0.9464433043</v>
      </c>
      <c r="N71" s="90">
        <f t="shared" si="5"/>
        <v>-18.69188675</v>
      </c>
      <c r="O71" s="90">
        <f t="shared" si="6"/>
        <v>349.3866301</v>
      </c>
    </row>
    <row r="72" ht="14.25" customHeight="1">
      <c r="A72" s="90">
        <v>1.0</v>
      </c>
      <c r="B72" s="90">
        <v>71.0</v>
      </c>
      <c r="C72" s="90">
        <v>170.249252</v>
      </c>
      <c r="D72" s="90">
        <f t="shared" si="7"/>
        <v>182.7217622</v>
      </c>
      <c r="E72" s="90">
        <f t="shared" si="8"/>
        <v>180.8324082</v>
      </c>
      <c r="F72" s="91">
        <f t="shared" si="9"/>
        <v>0.9414753345</v>
      </c>
      <c r="G72" s="90">
        <v>1.0000594696143654</v>
      </c>
      <c r="H72" s="90">
        <f t="shared" si="1"/>
        <v>170.2391279</v>
      </c>
      <c r="I72" s="90">
        <f t="shared" si="2"/>
        <v>193.3472851</v>
      </c>
      <c r="J72" s="90">
        <f t="shared" si="3"/>
        <v>193.3587834</v>
      </c>
      <c r="K72" s="90">
        <f t="shared" si="4"/>
        <v>0.8804836741</v>
      </c>
      <c r="L72" s="90">
        <f t="shared" si="10"/>
        <v>0.9444177609</v>
      </c>
      <c r="M72" s="90">
        <f t="shared" si="11"/>
        <v>0.9323031719</v>
      </c>
      <c r="N72" s="90">
        <f t="shared" si="5"/>
        <v>-23.10953136</v>
      </c>
      <c r="O72" s="90">
        <f t="shared" si="6"/>
        <v>534.0504397</v>
      </c>
    </row>
    <row r="73" ht="14.25" customHeight="1">
      <c r="A73" s="90">
        <v>2.0</v>
      </c>
      <c r="B73" s="90">
        <v>72.0</v>
      </c>
      <c r="C73" s="90">
        <v>172.551666</v>
      </c>
      <c r="D73" s="90">
        <f t="shared" si="7"/>
        <v>178.9430542</v>
      </c>
      <c r="E73" s="90">
        <f t="shared" si="8"/>
        <v>177.0744522</v>
      </c>
      <c r="F73" s="91">
        <f t="shared" si="9"/>
        <v>0.9744582793</v>
      </c>
      <c r="G73" s="90">
        <v>1.0018825920928427</v>
      </c>
      <c r="H73" s="90">
        <f t="shared" si="1"/>
        <v>172.227432</v>
      </c>
      <c r="I73" s="90">
        <f t="shared" si="2"/>
        <v>193.3066425</v>
      </c>
      <c r="J73" s="90">
        <f t="shared" si="3"/>
        <v>193.6705601</v>
      </c>
      <c r="K73" s="90">
        <f t="shared" si="4"/>
        <v>0.8909545464</v>
      </c>
      <c r="L73" s="90">
        <f t="shared" si="10"/>
        <v>0.9250806978</v>
      </c>
      <c r="M73" s="90">
        <f t="shared" si="11"/>
        <v>0.9631100816</v>
      </c>
      <c r="N73" s="90">
        <f t="shared" si="5"/>
        <v>-21.11889407</v>
      </c>
      <c r="O73" s="90">
        <f t="shared" si="6"/>
        <v>446.0076867</v>
      </c>
    </row>
    <row r="74" ht="14.25" customHeight="1">
      <c r="A74" s="90">
        <v>3.0</v>
      </c>
      <c r="B74" s="90">
        <v>73.0</v>
      </c>
      <c r="C74" s="90">
        <v>172.176163</v>
      </c>
      <c r="D74" s="90">
        <f t="shared" si="7"/>
        <v>175.2058502</v>
      </c>
      <c r="E74" s="90">
        <f t="shared" si="8"/>
        <v>174.0576126</v>
      </c>
      <c r="F74" s="91">
        <f t="shared" si="9"/>
        <v>0.9891906503</v>
      </c>
      <c r="G74" s="90">
        <v>0.9988670216408811</v>
      </c>
      <c r="H74" s="90">
        <f t="shared" si="1"/>
        <v>172.3714561</v>
      </c>
      <c r="I74" s="90">
        <f t="shared" si="2"/>
        <v>193.266</v>
      </c>
      <c r="J74" s="90">
        <f t="shared" si="3"/>
        <v>193.0470338</v>
      </c>
      <c r="K74" s="90">
        <f t="shared" si="4"/>
        <v>0.8918871202</v>
      </c>
      <c r="L74" s="90">
        <f t="shared" si="10"/>
        <v>0.9059913811</v>
      </c>
      <c r="M74" s="90">
        <f t="shared" si="11"/>
        <v>0.984432235</v>
      </c>
      <c r="N74" s="90">
        <f t="shared" si="5"/>
        <v>-20.87087076</v>
      </c>
      <c r="O74" s="90">
        <f t="shared" si="6"/>
        <v>435.5932462</v>
      </c>
    </row>
    <row r="75" ht="14.25" customHeight="1">
      <c r="A75" s="90">
        <v>4.0</v>
      </c>
      <c r="B75" s="90">
        <v>74.0</v>
      </c>
      <c r="C75" s="90">
        <v>178.796799</v>
      </c>
      <c r="D75" s="90">
        <f t="shared" si="7"/>
        <v>172.909375</v>
      </c>
      <c r="E75" s="90">
        <f t="shared" si="8"/>
        <v>173.3006836</v>
      </c>
      <c r="F75" s="91">
        <f t="shared" si="9"/>
        <v>1.031714332</v>
      </c>
      <c r="G75" s="90">
        <v>0.99924241874904</v>
      </c>
      <c r="H75" s="90">
        <f t="shared" si="1"/>
        <v>178.9323548</v>
      </c>
      <c r="I75" s="90">
        <f t="shared" si="2"/>
        <v>193.2253574</v>
      </c>
      <c r="J75" s="90">
        <f t="shared" si="3"/>
        <v>193.0789735</v>
      </c>
      <c r="K75" s="90">
        <f t="shared" si="4"/>
        <v>0.9260293639</v>
      </c>
      <c r="L75" s="90">
        <f t="shared" si="10"/>
        <v>0.8942953009</v>
      </c>
      <c r="M75" s="90">
        <f t="shared" si="11"/>
        <v>1.035484994</v>
      </c>
      <c r="N75" s="90">
        <f t="shared" si="5"/>
        <v>-14.28217449</v>
      </c>
      <c r="O75" s="90">
        <f t="shared" si="6"/>
        <v>203.980508</v>
      </c>
    </row>
    <row r="76" ht="14.25" customHeight="1">
      <c r="A76" s="90">
        <v>5.0</v>
      </c>
      <c r="B76" s="90">
        <v>75.0</v>
      </c>
      <c r="C76" s="90">
        <v>177.423264</v>
      </c>
      <c r="D76" s="90">
        <f t="shared" si="7"/>
        <v>173.6919922</v>
      </c>
      <c r="E76" s="90">
        <f t="shared" si="8"/>
        <v>173.9657105</v>
      </c>
      <c r="F76" s="91">
        <f t="shared" si="9"/>
        <v>1.019874914</v>
      </c>
      <c r="G76" s="90">
        <v>0.9999484979028709</v>
      </c>
      <c r="H76" s="90">
        <f t="shared" si="1"/>
        <v>177.4324021</v>
      </c>
      <c r="I76" s="90">
        <f t="shared" si="2"/>
        <v>193.1847148</v>
      </c>
      <c r="J76" s="90">
        <f t="shared" si="3"/>
        <v>193.1747654</v>
      </c>
      <c r="K76" s="90">
        <f t="shared" si="4"/>
        <v>0.9184598393</v>
      </c>
      <c r="L76" s="90">
        <f t="shared" si="10"/>
        <v>0.8985389695</v>
      </c>
      <c r="M76" s="90">
        <f t="shared" si="11"/>
        <v>1.02217029</v>
      </c>
      <c r="N76" s="90">
        <f t="shared" si="5"/>
        <v>-15.75150142</v>
      </c>
      <c r="O76" s="90">
        <f t="shared" si="6"/>
        <v>248.1097969</v>
      </c>
    </row>
    <row r="77" ht="14.25" customHeight="1">
      <c r="A77" s="90">
        <v>1.0</v>
      </c>
      <c r="B77" s="90">
        <v>76.0</v>
      </c>
      <c r="C77" s="90">
        <v>176.464767</v>
      </c>
      <c r="D77" s="90">
        <f t="shared" si="7"/>
        <v>174.2394288</v>
      </c>
      <c r="E77" s="90">
        <f t="shared" si="8"/>
        <v>174.8609803</v>
      </c>
      <c r="F77" s="91">
        <f t="shared" si="9"/>
        <v>1.009171781</v>
      </c>
      <c r="G77" s="90">
        <v>1.0000594696143654</v>
      </c>
      <c r="H77" s="90">
        <f t="shared" si="1"/>
        <v>176.4542733</v>
      </c>
      <c r="I77" s="90">
        <f t="shared" si="2"/>
        <v>193.1440723</v>
      </c>
      <c r="J77" s="90">
        <f t="shared" si="3"/>
        <v>193.1555585</v>
      </c>
      <c r="K77" s="90">
        <f t="shared" si="4"/>
        <v>0.9135888627</v>
      </c>
      <c r="L77" s="90">
        <f t="shared" si="10"/>
        <v>0.9015629088</v>
      </c>
      <c r="M77" s="90">
        <f t="shared" si="11"/>
        <v>1.013339007</v>
      </c>
      <c r="N77" s="90">
        <f t="shared" si="5"/>
        <v>-16.69079148</v>
      </c>
      <c r="O77" s="90">
        <f t="shared" si="6"/>
        <v>278.5825202</v>
      </c>
    </row>
    <row r="78" ht="14.25" customHeight="1">
      <c r="A78" s="90">
        <v>2.0</v>
      </c>
      <c r="B78" s="90">
        <v>77.0</v>
      </c>
      <c r="C78" s="90">
        <v>182.630859</v>
      </c>
      <c r="D78" s="90">
        <f t="shared" si="7"/>
        <v>175.4825318</v>
      </c>
      <c r="E78" s="90">
        <f t="shared" si="8"/>
        <v>176.4904511</v>
      </c>
      <c r="F78" s="91">
        <f t="shared" si="9"/>
        <v>1.034791729</v>
      </c>
      <c r="G78" s="90">
        <v>1.0018825920928427</v>
      </c>
      <c r="H78" s="90">
        <f t="shared" si="1"/>
        <v>182.2876856</v>
      </c>
      <c r="I78" s="90">
        <f t="shared" si="2"/>
        <v>193.1034297</v>
      </c>
      <c r="J78" s="90">
        <f t="shared" si="3"/>
        <v>193.4669647</v>
      </c>
      <c r="K78" s="90">
        <f t="shared" si="4"/>
        <v>0.9439898914</v>
      </c>
      <c r="L78" s="90">
        <f t="shared" si="10"/>
        <v>0.9081839465</v>
      </c>
      <c r="M78" s="90">
        <f t="shared" si="11"/>
        <v>1.039425873</v>
      </c>
      <c r="N78" s="90">
        <f t="shared" si="5"/>
        <v>-10.83610571</v>
      </c>
      <c r="O78" s="90">
        <f t="shared" si="6"/>
        <v>117.4211869</v>
      </c>
    </row>
    <row r="79" ht="14.25" customHeight="1">
      <c r="A79" s="90">
        <v>3.0</v>
      </c>
      <c r="B79" s="90">
        <v>78.0</v>
      </c>
      <c r="C79" s="90">
        <v>174.597153</v>
      </c>
      <c r="D79" s="90">
        <f t="shared" si="7"/>
        <v>177.4983704</v>
      </c>
      <c r="E79" s="90">
        <f t="shared" si="8"/>
        <v>177.7404694</v>
      </c>
      <c r="F79" s="91">
        <f t="shared" si="9"/>
        <v>0.9823151339</v>
      </c>
      <c r="G79" s="90">
        <v>0.9988670216408811</v>
      </c>
      <c r="H79" s="90">
        <f t="shared" si="1"/>
        <v>174.7951922</v>
      </c>
      <c r="I79" s="90">
        <f t="shared" si="2"/>
        <v>193.0627872</v>
      </c>
      <c r="J79" s="90">
        <f t="shared" si="3"/>
        <v>192.8440512</v>
      </c>
      <c r="K79" s="90">
        <f t="shared" si="4"/>
        <v>0.9053800307</v>
      </c>
      <c r="L79" s="90">
        <f t="shared" si="10"/>
        <v>0.9187910155</v>
      </c>
      <c r="M79" s="90">
        <f t="shared" si="11"/>
        <v>0.9854036614</v>
      </c>
      <c r="N79" s="90">
        <f t="shared" si="5"/>
        <v>-18.2468982</v>
      </c>
      <c r="O79" s="90">
        <f t="shared" si="6"/>
        <v>332.9492938</v>
      </c>
    </row>
    <row r="80" ht="14.25" customHeight="1">
      <c r="A80" s="90">
        <v>4.0</v>
      </c>
      <c r="B80" s="90">
        <v>79.0</v>
      </c>
      <c r="C80" s="90">
        <v>172.650482</v>
      </c>
      <c r="D80" s="90">
        <f t="shared" si="7"/>
        <v>177.9825684</v>
      </c>
      <c r="E80" s="90">
        <f t="shared" si="8"/>
        <v>177.3679367</v>
      </c>
      <c r="F80" s="91">
        <f t="shared" si="9"/>
        <v>0.9734030018</v>
      </c>
      <c r="G80" s="90">
        <v>0.99924241874904</v>
      </c>
      <c r="H80" s="90">
        <f t="shared" si="1"/>
        <v>172.7813779</v>
      </c>
      <c r="I80" s="90">
        <f t="shared" si="2"/>
        <v>193.0221446</v>
      </c>
      <c r="J80" s="90">
        <f t="shared" si="3"/>
        <v>192.8759146</v>
      </c>
      <c r="K80" s="90">
        <f t="shared" si="4"/>
        <v>0.8951375931</v>
      </c>
      <c r="L80" s="90">
        <f t="shared" si="10"/>
        <v>0.9214895976</v>
      </c>
      <c r="M80" s="90">
        <f t="shared" si="11"/>
        <v>0.9714028193</v>
      </c>
      <c r="N80" s="90">
        <f t="shared" si="5"/>
        <v>-20.22543264</v>
      </c>
      <c r="O80" s="90">
        <f t="shared" si="6"/>
        <v>409.0681255</v>
      </c>
    </row>
    <row r="81" ht="14.25" customHeight="1">
      <c r="A81" s="90">
        <v>5.0</v>
      </c>
      <c r="B81" s="90">
        <v>80.0</v>
      </c>
      <c r="C81" s="90">
        <v>166.494278</v>
      </c>
      <c r="D81" s="90">
        <f t="shared" si="7"/>
        <v>176.753305</v>
      </c>
      <c r="E81" s="90">
        <f t="shared" si="8"/>
        <v>175.6604064</v>
      </c>
      <c r="F81" s="91">
        <f t="shared" si="9"/>
        <v>0.9478190414</v>
      </c>
      <c r="G81" s="90">
        <v>0.9999484979028709</v>
      </c>
      <c r="H81" s="90">
        <f t="shared" si="1"/>
        <v>166.5028532</v>
      </c>
      <c r="I81" s="90">
        <f t="shared" si="2"/>
        <v>192.981502</v>
      </c>
      <c r="J81" s="90">
        <f t="shared" si="3"/>
        <v>192.9715631</v>
      </c>
      <c r="K81" s="90">
        <f t="shared" si="4"/>
        <v>0.8627917779</v>
      </c>
      <c r="L81" s="90">
        <f t="shared" si="10"/>
        <v>0.9153112435</v>
      </c>
      <c r="M81" s="90">
        <f t="shared" si="11"/>
        <v>0.9426211948</v>
      </c>
      <c r="N81" s="90">
        <f t="shared" si="5"/>
        <v>-26.47728509</v>
      </c>
      <c r="O81" s="90">
        <f t="shared" si="6"/>
        <v>701.0466256</v>
      </c>
    </row>
    <row r="82" ht="14.25" customHeight="1">
      <c r="A82" s="90">
        <v>1.0</v>
      </c>
      <c r="B82" s="90">
        <v>81.0</v>
      </c>
      <c r="C82" s="90">
        <v>167.591125</v>
      </c>
      <c r="D82" s="90">
        <f t="shared" si="7"/>
        <v>174.5675078</v>
      </c>
      <c r="E82" s="90">
        <f t="shared" si="8"/>
        <v>173.6801436</v>
      </c>
      <c r="F82" s="91">
        <f t="shared" si="9"/>
        <v>0.9649411932</v>
      </c>
      <c r="G82" s="90">
        <v>1.0000594696143654</v>
      </c>
      <c r="H82" s="90">
        <f t="shared" si="1"/>
        <v>167.581159</v>
      </c>
      <c r="I82" s="90">
        <f t="shared" si="2"/>
        <v>192.9408595</v>
      </c>
      <c r="J82" s="90">
        <f t="shared" si="3"/>
        <v>192.9523336</v>
      </c>
      <c r="K82" s="90">
        <f t="shared" si="4"/>
        <v>0.8685623121</v>
      </c>
      <c r="L82" s="90">
        <f t="shared" si="10"/>
        <v>0.9041776312</v>
      </c>
      <c r="M82" s="90">
        <f t="shared" si="11"/>
        <v>0.9606102631</v>
      </c>
      <c r="N82" s="90">
        <f t="shared" si="5"/>
        <v>-25.3612086</v>
      </c>
      <c r="O82" s="90">
        <f t="shared" si="6"/>
        <v>643.1909016</v>
      </c>
    </row>
    <row r="83" ht="14.25" customHeight="1">
      <c r="A83" s="90">
        <v>2.0</v>
      </c>
      <c r="B83" s="90">
        <v>82.0</v>
      </c>
      <c r="C83" s="90">
        <v>166.632614</v>
      </c>
      <c r="D83" s="90">
        <f t="shared" si="7"/>
        <v>172.7927794</v>
      </c>
      <c r="E83" s="90">
        <f t="shared" si="8"/>
        <v>171.1929549</v>
      </c>
      <c r="F83" s="91">
        <f t="shared" si="9"/>
        <v>0.9733613985</v>
      </c>
      <c r="G83" s="90">
        <v>1.0018825920928427</v>
      </c>
      <c r="H83" s="90">
        <f t="shared" si="1"/>
        <v>166.3195022</v>
      </c>
      <c r="I83" s="90">
        <f t="shared" si="2"/>
        <v>192.9002169</v>
      </c>
      <c r="J83" s="90">
        <f t="shared" si="3"/>
        <v>193.2633693</v>
      </c>
      <c r="K83" s="90">
        <f t="shared" si="4"/>
        <v>0.8622048481</v>
      </c>
      <c r="L83" s="90">
        <f t="shared" si="10"/>
        <v>0.8951723211</v>
      </c>
      <c r="M83" s="90">
        <f t="shared" si="11"/>
        <v>0.9631719254</v>
      </c>
      <c r="N83" s="90">
        <f t="shared" si="5"/>
        <v>-26.63075534</v>
      </c>
      <c r="O83" s="90">
        <f t="shared" si="6"/>
        <v>709.1971302</v>
      </c>
    </row>
    <row r="84" ht="14.25" customHeight="1">
      <c r="A84" s="90">
        <v>3.0</v>
      </c>
      <c r="B84" s="90">
        <v>83.0</v>
      </c>
      <c r="C84" s="90">
        <v>167.097046</v>
      </c>
      <c r="D84" s="90">
        <f t="shared" si="7"/>
        <v>169.5931304</v>
      </c>
      <c r="E84" s="90">
        <f t="shared" si="8"/>
        <v>168.8431197</v>
      </c>
      <c r="F84" s="91">
        <f t="shared" si="9"/>
        <v>0.9896586032</v>
      </c>
      <c r="G84" s="90">
        <v>0.9988670216408811</v>
      </c>
      <c r="H84" s="90">
        <f t="shared" si="1"/>
        <v>167.2865781</v>
      </c>
      <c r="I84" s="90">
        <f t="shared" si="2"/>
        <v>192.8595744</v>
      </c>
      <c r="J84" s="90">
        <f t="shared" si="3"/>
        <v>192.6410686</v>
      </c>
      <c r="K84" s="90">
        <f t="shared" si="4"/>
        <v>0.8674009503</v>
      </c>
      <c r="L84" s="90">
        <f t="shared" si="10"/>
        <v>0.8788153124</v>
      </c>
      <c r="M84" s="90">
        <f t="shared" si="11"/>
        <v>0.9870116486</v>
      </c>
      <c r="N84" s="90">
        <f t="shared" si="5"/>
        <v>-25.54402264</v>
      </c>
      <c r="O84" s="90">
        <f t="shared" si="6"/>
        <v>652.4970925</v>
      </c>
    </row>
    <row r="85" ht="14.25" customHeight="1">
      <c r="A85" s="90">
        <v>4.0</v>
      </c>
      <c r="B85" s="90">
        <v>84.0</v>
      </c>
      <c r="C85" s="90">
        <v>168.925125</v>
      </c>
      <c r="D85" s="90">
        <f t="shared" si="7"/>
        <v>168.093109</v>
      </c>
      <c r="E85" s="90">
        <f t="shared" si="8"/>
        <v>167.7205733</v>
      </c>
      <c r="F85" s="91">
        <f t="shared" si="9"/>
        <v>1.007181896</v>
      </c>
      <c r="G85" s="90">
        <v>0.99924241874904</v>
      </c>
      <c r="H85" s="90">
        <f t="shared" si="1"/>
        <v>169.0531965</v>
      </c>
      <c r="I85" s="90">
        <f t="shared" si="2"/>
        <v>192.8189318</v>
      </c>
      <c r="J85" s="90">
        <f t="shared" si="3"/>
        <v>192.6728558</v>
      </c>
      <c r="K85" s="90">
        <f t="shared" si="4"/>
        <v>0.876745841</v>
      </c>
      <c r="L85" s="90">
        <f t="shared" si="10"/>
        <v>0.8712194963</v>
      </c>
      <c r="M85" s="90">
        <f t="shared" si="11"/>
        <v>1.006343229</v>
      </c>
      <c r="N85" s="90">
        <f t="shared" si="5"/>
        <v>-23.74773079</v>
      </c>
      <c r="O85" s="90">
        <f t="shared" si="6"/>
        <v>563.9547179</v>
      </c>
    </row>
    <row r="86" ht="14.25" customHeight="1">
      <c r="A86" s="90">
        <v>5.0</v>
      </c>
      <c r="B86" s="90">
        <v>85.0</v>
      </c>
      <c r="C86" s="90">
        <v>163.519913</v>
      </c>
      <c r="D86" s="90">
        <f t="shared" si="7"/>
        <v>167.3480376</v>
      </c>
      <c r="E86" s="90">
        <f t="shared" si="8"/>
        <v>167.0506011</v>
      </c>
      <c r="F86" s="91">
        <f t="shared" si="9"/>
        <v>0.9788645591</v>
      </c>
      <c r="G86" s="90">
        <v>0.9999484979028709</v>
      </c>
      <c r="H86" s="90">
        <f t="shared" si="1"/>
        <v>163.5283351</v>
      </c>
      <c r="I86" s="90">
        <f t="shared" si="2"/>
        <v>192.7782892</v>
      </c>
      <c r="J86" s="90">
        <f t="shared" si="3"/>
        <v>192.7683608</v>
      </c>
      <c r="K86" s="90">
        <f t="shared" si="4"/>
        <v>0.8482715336</v>
      </c>
      <c r="L86" s="90">
        <f t="shared" si="10"/>
        <v>0.8675411459</v>
      </c>
      <c r="M86" s="90">
        <f t="shared" si="11"/>
        <v>0.9777882439</v>
      </c>
      <c r="N86" s="90">
        <f t="shared" si="5"/>
        <v>-29.24844776</v>
      </c>
      <c r="O86" s="90">
        <f t="shared" si="6"/>
        <v>855.4716962</v>
      </c>
    </row>
    <row r="87" ht="14.25" customHeight="1">
      <c r="A87" s="90">
        <v>1.0</v>
      </c>
      <c r="B87" s="90">
        <v>86.0</v>
      </c>
      <c r="C87" s="90">
        <v>161.998169</v>
      </c>
      <c r="D87" s="90">
        <f t="shared" si="7"/>
        <v>166.7531646</v>
      </c>
      <c r="E87" s="90">
        <f t="shared" si="8"/>
        <v>166.193869</v>
      </c>
      <c r="F87" s="91">
        <f t="shared" si="9"/>
        <v>0.974754183</v>
      </c>
      <c r="G87" s="90">
        <v>1.0000594696143654</v>
      </c>
      <c r="H87" s="90">
        <f t="shared" si="1"/>
        <v>161.9885356</v>
      </c>
      <c r="I87" s="90">
        <f t="shared" si="2"/>
        <v>192.7376467</v>
      </c>
      <c r="J87" s="90">
        <f t="shared" si="3"/>
        <v>192.7491087</v>
      </c>
      <c r="K87" s="90">
        <f t="shared" si="4"/>
        <v>0.840461313</v>
      </c>
      <c r="L87" s="90">
        <f t="shared" si="10"/>
        <v>0.864637097</v>
      </c>
      <c r="M87" s="90">
        <f t="shared" si="11"/>
        <v>0.9720393862</v>
      </c>
      <c r="N87" s="90">
        <f t="shared" si="5"/>
        <v>-30.75093972</v>
      </c>
      <c r="O87" s="90">
        <f t="shared" si="6"/>
        <v>945.6202935</v>
      </c>
    </row>
    <row r="88" ht="14.25" customHeight="1">
      <c r="A88" s="90">
        <v>2.0</v>
      </c>
      <c r="B88" s="90">
        <v>87.0</v>
      </c>
      <c r="C88" s="90">
        <v>164.102936</v>
      </c>
      <c r="D88" s="90">
        <f t="shared" si="7"/>
        <v>165.6345734</v>
      </c>
      <c r="E88" s="90">
        <f t="shared" si="8"/>
        <v>165.3816056</v>
      </c>
      <c r="F88" s="91">
        <f t="shared" si="9"/>
        <v>0.9922683687</v>
      </c>
      <c r="G88" s="90">
        <v>1.0018825920928427</v>
      </c>
      <c r="H88" s="90">
        <f t="shared" si="1"/>
        <v>163.7945776</v>
      </c>
      <c r="I88" s="90">
        <f t="shared" si="2"/>
        <v>192.6970041</v>
      </c>
      <c r="J88" s="90">
        <f t="shared" si="3"/>
        <v>193.059774</v>
      </c>
      <c r="K88" s="90">
        <f t="shared" si="4"/>
        <v>0.8500110231</v>
      </c>
      <c r="L88" s="90">
        <f t="shared" si="10"/>
        <v>0.8590168972</v>
      </c>
      <c r="M88" s="90">
        <f t="shared" si="11"/>
        <v>0.9895160687</v>
      </c>
      <c r="N88" s="90">
        <f t="shared" si="5"/>
        <v>-28.95683798</v>
      </c>
      <c r="O88" s="90">
        <f t="shared" si="6"/>
        <v>838.4984659</v>
      </c>
    </row>
    <row r="89" ht="14.25" customHeight="1">
      <c r="A89" s="90">
        <v>3.0</v>
      </c>
      <c r="B89" s="90">
        <v>88.0</v>
      </c>
      <c r="C89" s="90">
        <v>158.984299</v>
      </c>
      <c r="D89" s="90">
        <f t="shared" si="7"/>
        <v>165.1286378</v>
      </c>
      <c r="E89" s="90">
        <f t="shared" si="8"/>
        <v>164.3173631</v>
      </c>
      <c r="F89" s="91">
        <f t="shared" si="9"/>
        <v>0.9675441232</v>
      </c>
      <c r="G89" s="90">
        <v>0.9988670216408811</v>
      </c>
      <c r="H89" s="90">
        <f t="shared" si="1"/>
        <v>159.1646291</v>
      </c>
      <c r="I89" s="90">
        <f t="shared" si="2"/>
        <v>192.6563616</v>
      </c>
      <c r="J89" s="90">
        <f t="shared" si="3"/>
        <v>192.4380861</v>
      </c>
      <c r="K89" s="90">
        <f t="shared" si="4"/>
        <v>0.8261581802</v>
      </c>
      <c r="L89" s="90">
        <f t="shared" si="10"/>
        <v>0.8565781322</v>
      </c>
      <c r="M89" s="90">
        <f t="shared" si="11"/>
        <v>0.9644866582</v>
      </c>
      <c r="N89" s="90">
        <f t="shared" si="5"/>
        <v>-33.45378708</v>
      </c>
      <c r="O89" s="90">
        <f t="shared" si="6"/>
        <v>1119.15587</v>
      </c>
    </row>
    <row r="90" ht="14.25" customHeight="1">
      <c r="A90" s="90">
        <v>4.0</v>
      </c>
      <c r="B90" s="90">
        <v>89.0</v>
      </c>
      <c r="C90" s="90">
        <v>154.972397</v>
      </c>
      <c r="D90" s="90">
        <f t="shared" si="7"/>
        <v>163.5060884</v>
      </c>
      <c r="E90" s="90">
        <f t="shared" si="8"/>
        <v>162.1108156</v>
      </c>
      <c r="F90" s="91">
        <f t="shared" si="9"/>
        <v>0.9559658091</v>
      </c>
      <c r="G90" s="90">
        <v>0.99924241874904</v>
      </c>
      <c r="H90" s="90">
        <f t="shared" si="1"/>
        <v>155.0898902</v>
      </c>
      <c r="I90" s="90">
        <f t="shared" si="2"/>
        <v>192.615719</v>
      </c>
      <c r="J90" s="90">
        <f t="shared" si="3"/>
        <v>192.4697969</v>
      </c>
      <c r="K90" s="90">
        <f t="shared" si="4"/>
        <v>0.8051777445</v>
      </c>
      <c r="L90" s="90">
        <f t="shared" si="10"/>
        <v>0.8483295782</v>
      </c>
      <c r="M90" s="90">
        <f t="shared" si="11"/>
        <v>0.9491331733</v>
      </c>
      <c r="N90" s="90">
        <f t="shared" si="5"/>
        <v>-37.49739995</v>
      </c>
      <c r="O90" s="90">
        <f t="shared" si="6"/>
        <v>1406.055003</v>
      </c>
    </row>
    <row r="91" ht="14.25" customHeight="1">
      <c r="A91" s="90">
        <v>5.0</v>
      </c>
      <c r="B91" s="90">
        <v>90.0</v>
      </c>
      <c r="C91" s="90">
        <v>148.944626</v>
      </c>
      <c r="D91" s="90">
        <f t="shared" si="7"/>
        <v>160.7155428</v>
      </c>
      <c r="E91" s="90">
        <f t="shared" si="8"/>
        <v>159.2580141</v>
      </c>
      <c r="F91" s="91">
        <f t="shared" si="9"/>
        <v>0.9352410103</v>
      </c>
      <c r="G91" s="90">
        <v>0.9999484979028709</v>
      </c>
      <c r="H91" s="90">
        <f t="shared" si="1"/>
        <v>148.9522974</v>
      </c>
      <c r="I91" s="90">
        <f t="shared" si="2"/>
        <v>192.5750764</v>
      </c>
      <c r="J91" s="90">
        <f t="shared" si="3"/>
        <v>192.5651584</v>
      </c>
      <c r="K91" s="90">
        <f t="shared" si="4"/>
        <v>0.7734765064</v>
      </c>
      <c r="L91" s="90">
        <f t="shared" si="10"/>
        <v>0.8340159589</v>
      </c>
      <c r="M91" s="90">
        <f t="shared" si="11"/>
        <v>0.9274121175</v>
      </c>
      <c r="N91" s="90">
        <f t="shared" si="5"/>
        <v>-43.62053243</v>
      </c>
      <c r="O91" s="90">
        <f t="shared" si="6"/>
        <v>1902.750849</v>
      </c>
    </row>
    <row r="92" ht="14.25" customHeight="1">
      <c r="A92" s="90">
        <v>1.0</v>
      </c>
      <c r="B92" s="90">
        <v>91.0</v>
      </c>
      <c r="C92" s="90">
        <v>145.090836</v>
      </c>
      <c r="D92" s="90">
        <f t="shared" si="7"/>
        <v>157.8004854</v>
      </c>
      <c r="E92" s="90">
        <f t="shared" si="8"/>
        <v>156.1097521</v>
      </c>
      <c r="F92" s="91">
        <f t="shared" si="9"/>
        <v>0.9294155813</v>
      </c>
      <c r="G92" s="90">
        <v>1.0000594696143654</v>
      </c>
      <c r="H92" s="90">
        <f t="shared" si="1"/>
        <v>145.082208</v>
      </c>
      <c r="I92" s="90">
        <f t="shared" si="2"/>
        <v>192.5344339</v>
      </c>
      <c r="J92" s="90">
        <f t="shared" si="3"/>
        <v>192.5458838</v>
      </c>
      <c r="K92" s="90">
        <f t="shared" si="4"/>
        <v>0.7535390168</v>
      </c>
      <c r="L92" s="90">
        <f t="shared" si="10"/>
        <v>0.8190569535</v>
      </c>
      <c r="M92" s="90">
        <f t="shared" si="11"/>
        <v>0.920008082</v>
      </c>
      <c r="N92" s="90">
        <f t="shared" si="5"/>
        <v>-47.45504784</v>
      </c>
      <c r="O92" s="90">
        <f t="shared" si="6"/>
        <v>2251.981565</v>
      </c>
    </row>
    <row r="93" ht="14.25" customHeight="1">
      <c r="A93" s="90">
        <v>2.0</v>
      </c>
      <c r="B93" s="90">
        <v>92.0</v>
      </c>
      <c r="C93" s="90">
        <v>155.30835</v>
      </c>
      <c r="D93" s="90">
        <f t="shared" si="7"/>
        <v>154.4190188</v>
      </c>
      <c r="E93" s="90">
        <f t="shared" si="8"/>
        <v>153.5395602</v>
      </c>
      <c r="F93" s="91">
        <f t="shared" si="9"/>
        <v>1.011520092</v>
      </c>
      <c r="G93" s="90">
        <v>1.0018825920928427</v>
      </c>
      <c r="H93" s="90">
        <f t="shared" si="1"/>
        <v>155.0165171</v>
      </c>
      <c r="I93" s="90">
        <f t="shared" si="2"/>
        <v>192.4937913</v>
      </c>
      <c r="J93" s="90">
        <f t="shared" si="3"/>
        <v>192.8561786</v>
      </c>
      <c r="K93" s="90">
        <f t="shared" si="4"/>
        <v>0.8053065819</v>
      </c>
      <c r="L93" s="90">
        <f t="shared" si="10"/>
        <v>0.8016724942</v>
      </c>
      <c r="M93" s="90">
        <f t="shared" si="11"/>
        <v>1.004533133</v>
      </c>
      <c r="N93" s="90">
        <f t="shared" si="5"/>
        <v>-37.54782862</v>
      </c>
      <c r="O93" s="90">
        <f t="shared" si="6"/>
        <v>1409.839434</v>
      </c>
    </row>
    <row r="94" ht="14.25" customHeight="1">
      <c r="A94" s="90">
        <v>3.0</v>
      </c>
      <c r="B94" s="90">
        <v>93.0</v>
      </c>
      <c r="C94" s="90">
        <v>154.300446</v>
      </c>
      <c r="D94" s="90">
        <f t="shared" si="7"/>
        <v>152.6601016</v>
      </c>
      <c r="E94" s="90">
        <f t="shared" si="8"/>
        <v>152.1917163</v>
      </c>
      <c r="F94" s="91">
        <f t="shared" si="9"/>
        <v>1.013855746</v>
      </c>
      <c r="G94" s="90">
        <v>0.9988670216408811</v>
      </c>
      <c r="H94" s="90">
        <f t="shared" si="1"/>
        <v>154.4754634</v>
      </c>
      <c r="I94" s="90">
        <f t="shared" si="2"/>
        <v>192.4531488</v>
      </c>
      <c r="J94" s="90">
        <f t="shared" si="3"/>
        <v>192.2351035</v>
      </c>
      <c r="K94" s="90">
        <f t="shared" si="4"/>
        <v>0.8026652946</v>
      </c>
      <c r="L94" s="90">
        <f t="shared" si="10"/>
        <v>0.792731606</v>
      </c>
      <c r="M94" s="90">
        <f t="shared" si="11"/>
        <v>1.012530961</v>
      </c>
      <c r="N94" s="90">
        <f t="shared" si="5"/>
        <v>-37.93465752</v>
      </c>
      <c r="O94" s="90">
        <f t="shared" si="6"/>
        <v>1439.038241</v>
      </c>
    </row>
    <row r="95" ht="14.25" customHeight="1">
      <c r="A95" s="90">
        <v>4.0</v>
      </c>
      <c r="B95" s="90">
        <v>94.0</v>
      </c>
      <c r="C95" s="90">
        <v>154.379486</v>
      </c>
      <c r="D95" s="90">
        <f t="shared" si="7"/>
        <v>151.723331</v>
      </c>
      <c r="E95" s="90">
        <f t="shared" si="8"/>
        <v>151.6640399</v>
      </c>
      <c r="F95" s="91">
        <f t="shared" si="9"/>
        <v>1.01790435</v>
      </c>
      <c r="G95" s="90">
        <v>0.99924241874904</v>
      </c>
      <c r="H95" s="90">
        <f t="shared" si="1"/>
        <v>154.4965297</v>
      </c>
      <c r="I95" s="90">
        <f t="shared" si="2"/>
        <v>192.4125062</v>
      </c>
      <c r="J95" s="90">
        <f t="shared" si="3"/>
        <v>192.2667381</v>
      </c>
      <c r="K95" s="90">
        <f t="shared" si="4"/>
        <v>0.8029443237</v>
      </c>
      <c r="L95" s="90">
        <f t="shared" si="10"/>
        <v>0.7880330289</v>
      </c>
      <c r="M95" s="90">
        <f t="shared" si="11"/>
        <v>1.01892217</v>
      </c>
      <c r="N95" s="90">
        <f t="shared" si="5"/>
        <v>-37.8872521</v>
      </c>
      <c r="O95" s="90">
        <f t="shared" si="6"/>
        <v>1435.443872</v>
      </c>
    </row>
    <row r="96" ht="14.25" customHeight="1">
      <c r="A96" s="90">
        <v>5.0</v>
      </c>
      <c r="B96" s="90">
        <v>95.0</v>
      </c>
      <c r="C96" s="90">
        <v>155.871613</v>
      </c>
      <c r="D96" s="90">
        <f t="shared" si="7"/>
        <v>151.6047488</v>
      </c>
      <c r="E96" s="90">
        <f t="shared" si="8"/>
        <v>152.2974475</v>
      </c>
      <c r="F96" s="91">
        <f t="shared" si="9"/>
        <v>1.023468322</v>
      </c>
      <c r="G96" s="90">
        <v>0.9999484979028709</v>
      </c>
      <c r="H96" s="90">
        <f t="shared" si="1"/>
        <v>155.8796411</v>
      </c>
      <c r="I96" s="90">
        <f t="shared" si="2"/>
        <v>192.3718637</v>
      </c>
      <c r="J96" s="90">
        <f t="shared" si="3"/>
        <v>192.3619561</v>
      </c>
      <c r="K96" s="90">
        <f t="shared" si="4"/>
        <v>0.8103037428</v>
      </c>
      <c r="L96" s="90">
        <f t="shared" si="10"/>
        <v>0.7875863447</v>
      </c>
      <c r="M96" s="90">
        <f t="shared" si="11"/>
        <v>1.028844327</v>
      </c>
      <c r="N96" s="90">
        <f t="shared" si="5"/>
        <v>-36.4903431</v>
      </c>
      <c r="O96" s="90">
        <f t="shared" si="6"/>
        <v>1331.545139</v>
      </c>
    </row>
    <row r="97" ht="14.25" customHeight="1">
      <c r="A97" s="90">
        <v>1.0</v>
      </c>
      <c r="B97" s="90">
        <v>96.0</v>
      </c>
      <c r="C97" s="90">
        <v>156.049484</v>
      </c>
      <c r="D97" s="90">
        <f t="shared" si="7"/>
        <v>152.9901462</v>
      </c>
      <c r="E97" s="90">
        <f t="shared" si="8"/>
        <v>154.086011</v>
      </c>
      <c r="F97" s="91">
        <f t="shared" si="9"/>
        <v>1.012742708</v>
      </c>
      <c r="G97" s="90">
        <v>1.0000594696143654</v>
      </c>
      <c r="H97" s="90">
        <f t="shared" si="1"/>
        <v>156.0402043</v>
      </c>
      <c r="I97" s="90">
        <f t="shared" si="2"/>
        <v>192.3312211</v>
      </c>
      <c r="J97" s="90">
        <f t="shared" si="3"/>
        <v>192.342659</v>
      </c>
      <c r="K97" s="90">
        <f t="shared" si="4"/>
        <v>0.8113097991</v>
      </c>
      <c r="L97" s="90">
        <f t="shared" si="10"/>
        <v>0.794951792</v>
      </c>
      <c r="M97" s="90">
        <f t="shared" si="11"/>
        <v>1.020577357</v>
      </c>
      <c r="N97" s="90">
        <f t="shared" si="5"/>
        <v>-36.29317496</v>
      </c>
      <c r="O97" s="90">
        <f t="shared" si="6"/>
        <v>1317.194548</v>
      </c>
    </row>
    <row r="98" ht="14.25" customHeight="1">
      <c r="A98" s="90">
        <v>2.0</v>
      </c>
      <c r="B98" s="90">
        <v>97.0</v>
      </c>
      <c r="C98" s="90">
        <v>140.505798</v>
      </c>
      <c r="D98" s="90">
        <f t="shared" si="7"/>
        <v>155.1818758</v>
      </c>
      <c r="E98" s="90">
        <f t="shared" si="8"/>
        <v>153.7016206</v>
      </c>
      <c r="F98" s="91">
        <f t="shared" si="9"/>
        <v>0.9141464966</v>
      </c>
      <c r="G98" s="90">
        <v>1.0018825920928427</v>
      </c>
      <c r="H98" s="90">
        <f t="shared" si="1"/>
        <v>140.2417799</v>
      </c>
      <c r="I98" s="90">
        <f t="shared" si="2"/>
        <v>192.2905785</v>
      </c>
      <c r="J98" s="90">
        <f t="shared" si="3"/>
        <v>192.6525833</v>
      </c>
      <c r="K98" s="90">
        <f t="shared" si="4"/>
        <v>0.7293221592</v>
      </c>
      <c r="L98" s="90">
        <f t="shared" si="10"/>
        <v>0.8065059484</v>
      </c>
      <c r="M98" s="90">
        <f t="shared" si="11"/>
        <v>0.9042985494</v>
      </c>
      <c r="N98" s="90">
        <f t="shared" si="5"/>
        <v>-52.14678526</v>
      </c>
      <c r="O98" s="90">
        <f t="shared" si="6"/>
        <v>2719.287213</v>
      </c>
    </row>
    <row r="99" ht="14.25" customHeight="1">
      <c r="A99" s="90">
        <v>3.0</v>
      </c>
      <c r="B99" s="90">
        <v>98.0</v>
      </c>
      <c r="C99" s="90">
        <v>146.503891</v>
      </c>
      <c r="D99" s="90">
        <f t="shared" si="7"/>
        <v>152.2213654</v>
      </c>
      <c r="E99" s="90">
        <f t="shared" si="8"/>
        <v>151.4417099</v>
      </c>
      <c r="F99" s="91">
        <f t="shared" si="9"/>
        <v>0.9673945909</v>
      </c>
      <c r="G99" s="90">
        <v>0.9988670216408811</v>
      </c>
      <c r="H99" s="90">
        <f t="shared" si="1"/>
        <v>146.670065</v>
      </c>
      <c r="I99" s="90">
        <f t="shared" si="2"/>
        <v>192.249936</v>
      </c>
      <c r="J99" s="90">
        <f t="shared" si="3"/>
        <v>192.032121</v>
      </c>
      <c r="K99" s="90">
        <f t="shared" si="4"/>
        <v>0.7629134661</v>
      </c>
      <c r="L99" s="90">
        <f t="shared" si="10"/>
        <v>0.7913090639</v>
      </c>
      <c r="M99" s="90">
        <f t="shared" si="11"/>
        <v>0.9641156672</v>
      </c>
      <c r="N99" s="90">
        <f t="shared" si="5"/>
        <v>-45.52822996</v>
      </c>
      <c r="O99" s="90">
        <f t="shared" si="6"/>
        <v>2072.819723</v>
      </c>
    </row>
    <row r="100" ht="14.25" customHeight="1">
      <c r="A100" s="90">
        <v>4.0</v>
      </c>
      <c r="B100" s="90">
        <v>99.0</v>
      </c>
      <c r="C100" s="90">
        <v>146.177811</v>
      </c>
      <c r="D100" s="90">
        <f t="shared" si="7"/>
        <v>150.6620544</v>
      </c>
      <c r="E100" s="90">
        <f t="shared" si="8"/>
        <v>149.8418869</v>
      </c>
      <c r="F100" s="91">
        <f t="shared" si="9"/>
        <v>0.9755470518</v>
      </c>
      <c r="G100" s="90">
        <v>0.99924241874904</v>
      </c>
      <c r="H100" s="90">
        <f t="shared" si="1"/>
        <v>146.2886365</v>
      </c>
      <c r="I100" s="90">
        <f t="shared" si="2"/>
        <v>192.2092934</v>
      </c>
      <c r="J100" s="90">
        <f t="shared" si="3"/>
        <v>192.0636793</v>
      </c>
      <c r="K100" s="90">
        <f t="shared" si="4"/>
        <v>0.7610903403</v>
      </c>
      <c r="L100" s="90">
        <f t="shared" si="10"/>
        <v>0.7833586982</v>
      </c>
      <c r="M100" s="90">
        <f t="shared" si="11"/>
        <v>0.9715732295</v>
      </c>
      <c r="N100" s="90">
        <f t="shared" si="5"/>
        <v>-45.88586826</v>
      </c>
      <c r="O100" s="90">
        <f t="shared" si="6"/>
        <v>2105.512906</v>
      </c>
    </row>
    <row r="101" ht="14.25" customHeight="1">
      <c r="A101" s="90">
        <v>5.0</v>
      </c>
      <c r="B101" s="90">
        <v>100.0</v>
      </c>
      <c r="C101" s="90">
        <v>148.964386</v>
      </c>
      <c r="D101" s="90">
        <f t="shared" si="7"/>
        <v>149.0217194</v>
      </c>
      <c r="E101" s="90">
        <f t="shared" si="8"/>
        <v>148.3309967</v>
      </c>
      <c r="F101" s="91">
        <f t="shared" si="9"/>
        <v>1.004270107</v>
      </c>
      <c r="G101" s="90">
        <v>0.9999484979028709</v>
      </c>
      <c r="H101" s="90">
        <f t="shared" si="1"/>
        <v>148.9720584</v>
      </c>
      <c r="I101" s="90">
        <f t="shared" si="2"/>
        <v>192.1686509</v>
      </c>
      <c r="J101" s="90">
        <f t="shared" si="3"/>
        <v>192.1587538</v>
      </c>
      <c r="K101" s="90">
        <f t="shared" si="4"/>
        <v>0.7752151962</v>
      </c>
      <c r="L101" s="90">
        <f t="shared" si="10"/>
        <v>0.7749879015</v>
      </c>
      <c r="M101" s="90">
        <f t="shared" si="11"/>
        <v>1.000293288</v>
      </c>
      <c r="N101" s="90">
        <f t="shared" si="5"/>
        <v>-43.19436777</v>
      </c>
      <c r="O101" s="90">
        <f t="shared" si="6"/>
        <v>1865.753407</v>
      </c>
    </row>
    <row r="102" ht="14.25" customHeight="1">
      <c r="A102" s="90">
        <v>1.0</v>
      </c>
      <c r="B102" s="90">
        <v>101.0</v>
      </c>
      <c r="C102" s="90">
        <v>151.494064</v>
      </c>
      <c r="D102" s="90">
        <f t="shared" si="7"/>
        <v>147.640274</v>
      </c>
      <c r="E102" s="90">
        <f t="shared" si="8"/>
        <v>147.184732</v>
      </c>
      <c r="F102" s="91">
        <f t="shared" si="9"/>
        <v>1.02927839</v>
      </c>
      <c r="G102" s="90">
        <v>1.0000594696143654</v>
      </c>
      <c r="H102" s="90">
        <f t="shared" si="1"/>
        <v>151.4850552</v>
      </c>
      <c r="I102" s="90">
        <f t="shared" si="2"/>
        <v>192.1280083</v>
      </c>
      <c r="J102" s="90">
        <f t="shared" si="3"/>
        <v>192.1394341</v>
      </c>
      <c r="K102" s="90">
        <f t="shared" si="4"/>
        <v>0.7884589893</v>
      </c>
      <c r="L102" s="90">
        <f t="shared" si="10"/>
        <v>0.7679701922</v>
      </c>
      <c r="M102" s="90">
        <f t="shared" si="11"/>
        <v>1.026679157</v>
      </c>
      <c r="N102" s="90">
        <f t="shared" si="5"/>
        <v>-40.64537008</v>
      </c>
      <c r="O102" s="90">
        <f t="shared" si="6"/>
        <v>1652.046109</v>
      </c>
    </row>
    <row r="103" ht="14.25" customHeight="1">
      <c r="A103" s="90">
        <v>2.0</v>
      </c>
      <c r="B103" s="90">
        <v>102.0</v>
      </c>
      <c r="C103" s="90">
        <v>151.978271</v>
      </c>
      <c r="D103" s="90">
        <f t="shared" si="7"/>
        <v>146.72919</v>
      </c>
      <c r="E103" s="90">
        <f t="shared" si="8"/>
        <v>147.8764373</v>
      </c>
      <c r="F103" s="91">
        <f t="shared" si="9"/>
        <v>1.027738251</v>
      </c>
      <c r="G103" s="90">
        <v>1.0018825920928427</v>
      </c>
      <c r="H103" s="90">
        <f t="shared" si="1"/>
        <v>151.6926955</v>
      </c>
      <c r="I103" s="90">
        <f t="shared" si="2"/>
        <v>192.0873657</v>
      </c>
      <c r="J103" s="90">
        <f t="shared" si="3"/>
        <v>192.4489879</v>
      </c>
      <c r="K103" s="90">
        <f t="shared" si="4"/>
        <v>0.7897067824</v>
      </c>
      <c r="L103" s="90">
        <f t="shared" si="10"/>
        <v>0.7634000302</v>
      </c>
      <c r="M103" s="90">
        <f t="shared" si="11"/>
        <v>1.034459983</v>
      </c>
      <c r="N103" s="90">
        <f t="shared" si="5"/>
        <v>-40.47071689</v>
      </c>
      <c r="O103" s="90">
        <f t="shared" si="6"/>
        <v>1637.878926</v>
      </c>
    </row>
    <row r="104" ht="14.25" customHeight="1">
      <c r="A104" s="90">
        <v>3.0</v>
      </c>
      <c r="B104" s="90">
        <v>103.0</v>
      </c>
      <c r="C104" s="90">
        <v>150.48616</v>
      </c>
      <c r="D104" s="90">
        <f t="shared" si="7"/>
        <v>149.0236846</v>
      </c>
      <c r="E104" s="90">
        <f t="shared" si="8"/>
        <v>149.4219115</v>
      </c>
      <c r="F104" s="91">
        <f t="shared" si="9"/>
        <v>1.007122439</v>
      </c>
      <c r="G104" s="90">
        <v>0.9988670216408811</v>
      </c>
      <c r="H104" s="90">
        <f t="shared" si="1"/>
        <v>150.656851</v>
      </c>
      <c r="I104" s="90">
        <f t="shared" si="2"/>
        <v>192.0467232</v>
      </c>
      <c r="J104" s="90">
        <f t="shared" si="3"/>
        <v>191.8291384</v>
      </c>
      <c r="K104" s="90">
        <f t="shared" si="4"/>
        <v>0.7844801955</v>
      </c>
      <c r="L104" s="90">
        <f t="shared" si="10"/>
        <v>0.7754769548</v>
      </c>
      <c r="M104" s="90">
        <f t="shared" si="11"/>
        <v>1.01160994</v>
      </c>
      <c r="N104" s="90">
        <f t="shared" si="5"/>
        <v>-41.3429784</v>
      </c>
      <c r="O104" s="90">
        <f t="shared" si="6"/>
        <v>1709.241863</v>
      </c>
    </row>
    <row r="105" ht="14.25" customHeight="1">
      <c r="A105" s="90">
        <v>4.0</v>
      </c>
      <c r="B105" s="90">
        <v>104.0</v>
      </c>
      <c r="C105" s="90">
        <v>148.223282</v>
      </c>
      <c r="D105" s="90">
        <f t="shared" si="7"/>
        <v>149.8201384</v>
      </c>
      <c r="E105" s="90">
        <f t="shared" si="8"/>
        <v>150.0246855</v>
      </c>
      <c r="F105" s="91">
        <f t="shared" si="9"/>
        <v>0.9879926194</v>
      </c>
      <c r="G105" s="90">
        <v>0.99924241874904</v>
      </c>
      <c r="H105" s="90">
        <f t="shared" si="1"/>
        <v>148.3356583</v>
      </c>
      <c r="I105" s="90">
        <f t="shared" si="2"/>
        <v>192.0060806</v>
      </c>
      <c r="J105" s="90">
        <f t="shared" si="3"/>
        <v>191.8606204</v>
      </c>
      <c r="K105" s="90">
        <f t="shared" si="4"/>
        <v>0.7725570869</v>
      </c>
      <c r="L105" s="90">
        <f t="shared" si="10"/>
        <v>0.7797903007</v>
      </c>
      <c r="M105" s="90">
        <f t="shared" si="11"/>
        <v>0.9907241552</v>
      </c>
      <c r="N105" s="90">
        <f t="shared" si="5"/>
        <v>-43.63733841</v>
      </c>
      <c r="O105" s="90">
        <f t="shared" si="6"/>
        <v>1904.217304</v>
      </c>
    </row>
    <row r="106" ht="14.25" customHeight="1">
      <c r="A106" s="90">
        <v>5.0</v>
      </c>
      <c r="B106" s="90">
        <v>105.0</v>
      </c>
      <c r="C106" s="90">
        <v>151.256927</v>
      </c>
      <c r="D106" s="90">
        <f t="shared" si="7"/>
        <v>150.2292326</v>
      </c>
      <c r="E106" s="90">
        <f t="shared" si="8"/>
        <v>150.4584867</v>
      </c>
      <c r="F106" s="91">
        <f t="shared" si="9"/>
        <v>1.005306715</v>
      </c>
      <c r="G106" s="90">
        <v>0.9999484979028709</v>
      </c>
      <c r="H106" s="90">
        <f t="shared" si="1"/>
        <v>151.2647175</v>
      </c>
      <c r="I106" s="90">
        <f t="shared" si="2"/>
        <v>191.9654381</v>
      </c>
      <c r="J106" s="90">
        <f t="shared" si="3"/>
        <v>191.9555514</v>
      </c>
      <c r="K106" s="90">
        <f t="shared" si="4"/>
        <v>0.7879789142</v>
      </c>
      <c r="L106" s="90">
        <f t="shared" si="10"/>
        <v>0.7820836501</v>
      </c>
      <c r="M106" s="90">
        <f t="shared" si="11"/>
        <v>1.007537895</v>
      </c>
      <c r="N106" s="90">
        <f t="shared" si="5"/>
        <v>-40.69862444</v>
      </c>
      <c r="O106" s="90">
        <f t="shared" si="6"/>
        <v>1656.378031</v>
      </c>
    </row>
    <row r="107" ht="14.25" customHeight="1">
      <c r="A107" s="90">
        <v>1.0</v>
      </c>
      <c r="B107" s="90">
        <v>106.0</v>
      </c>
      <c r="C107" s="90">
        <v>153.104782</v>
      </c>
      <c r="D107" s="90">
        <f t="shared" si="7"/>
        <v>150.6877408</v>
      </c>
      <c r="E107" s="90">
        <f t="shared" si="8"/>
        <v>150.8488126</v>
      </c>
      <c r="F107" s="91">
        <f t="shared" si="9"/>
        <v>1.014955168</v>
      </c>
      <c r="G107" s="90">
        <v>1.0000594696143654</v>
      </c>
      <c r="H107" s="90">
        <f t="shared" si="1"/>
        <v>153.0956775</v>
      </c>
      <c r="I107" s="90">
        <f t="shared" si="2"/>
        <v>191.9247955</v>
      </c>
      <c r="J107" s="90">
        <f t="shared" si="3"/>
        <v>191.9362092</v>
      </c>
      <c r="K107" s="90">
        <f t="shared" si="4"/>
        <v>0.7976857657</v>
      </c>
      <c r="L107" s="90">
        <f t="shared" si="10"/>
        <v>0.7846363937</v>
      </c>
      <c r="M107" s="90">
        <f t="shared" si="11"/>
        <v>1.016631107</v>
      </c>
      <c r="N107" s="90">
        <f t="shared" si="5"/>
        <v>-38.8314272</v>
      </c>
      <c r="O107" s="90">
        <f t="shared" si="6"/>
        <v>1507.879738</v>
      </c>
    </row>
    <row r="108" ht="14.25" customHeight="1">
      <c r="A108" s="90">
        <v>2.0</v>
      </c>
      <c r="B108" s="90">
        <v>107.0</v>
      </c>
      <c r="C108" s="90">
        <v>154.013885</v>
      </c>
      <c r="D108" s="90">
        <f t="shared" si="7"/>
        <v>151.0098844</v>
      </c>
      <c r="E108" s="90">
        <f t="shared" si="8"/>
        <v>151.2134458</v>
      </c>
      <c r="F108" s="91">
        <f t="shared" si="9"/>
        <v>1.018519776</v>
      </c>
      <c r="G108" s="90">
        <v>1.0018825920928427</v>
      </c>
      <c r="H108" s="90">
        <f t="shared" si="1"/>
        <v>153.7244845</v>
      </c>
      <c r="I108" s="90">
        <f t="shared" si="2"/>
        <v>191.8841529</v>
      </c>
      <c r="J108" s="90">
        <f t="shared" si="3"/>
        <v>192.2453925</v>
      </c>
      <c r="K108" s="90">
        <f t="shared" si="4"/>
        <v>0.8011317357</v>
      </c>
      <c r="L108" s="90">
        <f t="shared" si="10"/>
        <v>0.7864817489</v>
      </c>
      <c r="M108" s="90">
        <f t="shared" si="11"/>
        <v>1.018627243</v>
      </c>
      <c r="N108" s="90">
        <f t="shared" si="5"/>
        <v>-38.23150753</v>
      </c>
      <c r="O108" s="90">
        <f t="shared" si="6"/>
        <v>1461.648168</v>
      </c>
    </row>
    <row r="109" ht="14.25" customHeight="1">
      <c r="A109" s="90">
        <v>3.0</v>
      </c>
      <c r="B109" s="90">
        <v>108.0</v>
      </c>
      <c r="C109" s="90">
        <v>154.962494</v>
      </c>
      <c r="D109" s="90">
        <f t="shared" si="7"/>
        <v>151.4170072</v>
      </c>
      <c r="E109" s="90">
        <f t="shared" si="8"/>
        <v>151.8646406</v>
      </c>
      <c r="F109" s="91">
        <f t="shared" si="9"/>
        <v>1.02039878</v>
      </c>
      <c r="G109" s="90">
        <v>0.9988670216408811</v>
      </c>
      <c r="H109" s="90">
        <f t="shared" si="1"/>
        <v>155.1382623</v>
      </c>
      <c r="I109" s="90">
        <f t="shared" si="2"/>
        <v>191.8435104</v>
      </c>
      <c r="J109" s="90">
        <f t="shared" si="3"/>
        <v>191.6261558</v>
      </c>
      <c r="K109" s="90">
        <f t="shared" si="4"/>
        <v>0.8086708901</v>
      </c>
      <c r="L109" s="90">
        <f t="shared" si="10"/>
        <v>0.7887667396</v>
      </c>
      <c r="M109" s="90">
        <f t="shared" si="11"/>
        <v>1.02523452</v>
      </c>
      <c r="N109" s="90">
        <f t="shared" si="5"/>
        <v>-36.66366184</v>
      </c>
      <c r="O109" s="90">
        <f t="shared" si="6"/>
        <v>1344.224099</v>
      </c>
    </row>
    <row r="110" ht="14.25" customHeight="1">
      <c r="A110" s="90">
        <v>4.0</v>
      </c>
      <c r="B110" s="90">
        <v>109.0</v>
      </c>
      <c r="C110" s="90">
        <v>151.484207</v>
      </c>
      <c r="D110" s="90">
        <f t="shared" si="7"/>
        <v>152.312274</v>
      </c>
      <c r="E110" s="90">
        <f t="shared" si="8"/>
        <v>152.6383665</v>
      </c>
      <c r="F110" s="91">
        <f t="shared" si="9"/>
        <v>0.9924386016</v>
      </c>
      <c r="G110" s="90">
        <v>0.99924241874904</v>
      </c>
      <c r="H110" s="90">
        <f t="shared" si="1"/>
        <v>151.5990556</v>
      </c>
      <c r="I110" s="90">
        <f t="shared" si="2"/>
        <v>191.8028678</v>
      </c>
      <c r="J110" s="90">
        <f t="shared" si="3"/>
        <v>191.6575616</v>
      </c>
      <c r="K110" s="90">
        <f t="shared" si="4"/>
        <v>0.7903899317</v>
      </c>
      <c r="L110" s="90">
        <f t="shared" si="10"/>
        <v>0.7936048785</v>
      </c>
      <c r="M110" s="90">
        <f t="shared" si="11"/>
        <v>0.9959489327</v>
      </c>
      <c r="N110" s="90">
        <f t="shared" si="5"/>
        <v>-40.17335457</v>
      </c>
      <c r="O110" s="90">
        <f t="shared" si="6"/>
        <v>1613.898417</v>
      </c>
    </row>
    <row r="111" ht="14.25" customHeight="1">
      <c r="A111" s="90">
        <v>5.0</v>
      </c>
      <c r="B111" s="90">
        <v>110.0</v>
      </c>
      <c r="C111" s="90">
        <v>152.096848</v>
      </c>
      <c r="D111" s="90">
        <f t="shared" si="7"/>
        <v>152.964459</v>
      </c>
      <c r="E111" s="90">
        <f t="shared" si="8"/>
        <v>153.0484511</v>
      </c>
      <c r="F111" s="91">
        <f t="shared" si="9"/>
        <v>0.9937823409</v>
      </c>
      <c r="G111" s="90">
        <v>0.9999484979028709</v>
      </c>
      <c r="H111" s="90">
        <f t="shared" si="1"/>
        <v>152.1046817</v>
      </c>
      <c r="I111" s="90">
        <f t="shared" si="2"/>
        <v>191.7622253</v>
      </c>
      <c r="J111" s="90">
        <f t="shared" si="3"/>
        <v>191.7523491</v>
      </c>
      <c r="K111" s="90">
        <f t="shared" si="4"/>
        <v>0.7931941836</v>
      </c>
      <c r="L111" s="90">
        <f t="shared" si="10"/>
        <v>0.7971714475</v>
      </c>
      <c r="M111" s="90">
        <f t="shared" si="11"/>
        <v>0.9950107798</v>
      </c>
      <c r="N111" s="90">
        <f t="shared" si="5"/>
        <v>-39.65550111</v>
      </c>
      <c r="O111" s="90">
        <f t="shared" si="6"/>
        <v>1572.558768</v>
      </c>
    </row>
    <row r="112" ht="14.25" customHeight="1">
      <c r="A112" s="90">
        <v>1.0</v>
      </c>
      <c r="B112" s="90">
        <v>111.0</v>
      </c>
      <c r="C112" s="90">
        <v>150.891296</v>
      </c>
      <c r="D112" s="90">
        <f t="shared" si="7"/>
        <v>153.1324432</v>
      </c>
      <c r="E112" s="90">
        <f t="shared" si="8"/>
        <v>152.9110946</v>
      </c>
      <c r="F112" s="91">
        <f t="shared" si="9"/>
        <v>0.9867910265</v>
      </c>
      <c r="G112" s="90">
        <v>1.0000594696143654</v>
      </c>
      <c r="H112" s="90">
        <f t="shared" si="1"/>
        <v>150.8823231</v>
      </c>
      <c r="I112" s="90">
        <f t="shared" si="2"/>
        <v>191.7215827</v>
      </c>
      <c r="J112" s="90">
        <f t="shared" si="3"/>
        <v>191.7329843</v>
      </c>
      <c r="K112" s="90">
        <f t="shared" si="4"/>
        <v>0.7869866342</v>
      </c>
      <c r="L112" s="90">
        <f t="shared" si="10"/>
        <v>0.7982145014</v>
      </c>
      <c r="M112" s="90">
        <f t="shared" si="11"/>
        <v>0.9859337721</v>
      </c>
      <c r="N112" s="90">
        <f t="shared" si="5"/>
        <v>-40.84168831</v>
      </c>
      <c r="O112" s="90">
        <f t="shared" si="6"/>
        <v>1668.043504</v>
      </c>
    </row>
    <row r="113" ht="14.25" customHeight="1">
      <c r="A113" s="90">
        <v>2.0</v>
      </c>
      <c r="B113" s="90">
        <v>112.0</v>
      </c>
      <c r="C113" s="90">
        <v>155.891357</v>
      </c>
      <c r="D113" s="90">
        <f t="shared" si="7"/>
        <v>152.689746</v>
      </c>
      <c r="E113" s="90">
        <f t="shared" si="8"/>
        <v>152.8774932</v>
      </c>
      <c r="F113" s="91">
        <f t="shared" si="9"/>
        <v>1.019714241</v>
      </c>
      <c r="G113" s="90">
        <v>1.0018825920928427</v>
      </c>
      <c r="H113" s="90">
        <f t="shared" si="1"/>
        <v>155.5984286</v>
      </c>
      <c r="I113" s="90">
        <f t="shared" si="2"/>
        <v>191.6809401</v>
      </c>
      <c r="J113" s="90">
        <f t="shared" si="3"/>
        <v>192.0417972</v>
      </c>
      <c r="K113" s="90">
        <f t="shared" si="4"/>
        <v>0.8117574367</v>
      </c>
      <c r="L113" s="90">
        <f t="shared" si="10"/>
        <v>0.7960746751</v>
      </c>
      <c r="M113" s="90">
        <f t="shared" si="11"/>
        <v>1.019700114</v>
      </c>
      <c r="N113" s="90">
        <f t="shared" si="5"/>
        <v>-36.15044017</v>
      </c>
      <c r="O113" s="90">
        <f t="shared" si="6"/>
        <v>1306.854324</v>
      </c>
    </row>
    <row r="114" ht="14.25" customHeight="1">
      <c r="A114" s="90">
        <v>3.0</v>
      </c>
      <c r="B114" s="90">
        <v>113.0</v>
      </c>
      <c r="C114" s="90">
        <v>154.448654</v>
      </c>
      <c r="D114" s="90">
        <f t="shared" si="7"/>
        <v>153.0652404</v>
      </c>
      <c r="E114" s="90">
        <f t="shared" si="8"/>
        <v>153.0138564</v>
      </c>
      <c r="F114" s="91">
        <f t="shared" si="9"/>
        <v>1.009376913</v>
      </c>
      <c r="G114" s="90">
        <v>0.9988670216408811</v>
      </c>
      <c r="H114" s="90">
        <f t="shared" si="1"/>
        <v>154.6238395</v>
      </c>
      <c r="I114" s="90">
        <f t="shared" si="2"/>
        <v>191.6402976</v>
      </c>
      <c r="J114" s="90">
        <f t="shared" si="3"/>
        <v>191.4231733</v>
      </c>
      <c r="K114" s="90">
        <f t="shared" si="4"/>
        <v>0.8068440793</v>
      </c>
      <c r="L114" s="90">
        <f t="shared" si="10"/>
        <v>0.7981998152</v>
      </c>
      <c r="M114" s="90">
        <f t="shared" si="11"/>
        <v>1.010829699</v>
      </c>
      <c r="N114" s="90">
        <f t="shared" si="5"/>
        <v>-36.97451928</v>
      </c>
      <c r="O114" s="90">
        <f t="shared" si="6"/>
        <v>1367.115076</v>
      </c>
    </row>
    <row r="115" ht="14.25" customHeight="1">
      <c r="A115" s="90">
        <v>4.0</v>
      </c>
      <c r="B115" s="90">
        <v>114.0</v>
      </c>
      <c r="C115" s="90">
        <v>152.847839</v>
      </c>
      <c r="D115" s="90">
        <f t="shared" si="7"/>
        <v>152.9624724</v>
      </c>
      <c r="E115" s="90">
        <f t="shared" si="8"/>
        <v>153.0988356</v>
      </c>
      <c r="F115" s="91">
        <f t="shared" si="9"/>
        <v>0.9983605584</v>
      </c>
      <c r="G115" s="90">
        <v>0.99924241874904</v>
      </c>
      <c r="H115" s="90">
        <f t="shared" si="1"/>
        <v>152.9637214</v>
      </c>
      <c r="I115" s="90">
        <f t="shared" si="2"/>
        <v>191.599655</v>
      </c>
      <c r="J115" s="90">
        <f t="shared" si="3"/>
        <v>191.4545027</v>
      </c>
      <c r="K115" s="90">
        <f t="shared" si="4"/>
        <v>0.7983507143</v>
      </c>
      <c r="L115" s="90">
        <f t="shared" si="10"/>
        <v>0.7978344531</v>
      </c>
      <c r="M115" s="90">
        <f t="shared" si="11"/>
        <v>1.000647078</v>
      </c>
      <c r="N115" s="90">
        <f t="shared" si="5"/>
        <v>-38.60666372</v>
      </c>
      <c r="O115" s="90">
        <f t="shared" si="6"/>
        <v>1490.474484</v>
      </c>
    </row>
    <row r="116" ht="14.25" customHeight="1">
      <c r="A116" s="90">
        <v>5.0</v>
      </c>
      <c r="B116" s="90">
        <v>115.0</v>
      </c>
      <c r="C116" s="90">
        <v>163.292648</v>
      </c>
      <c r="D116" s="90">
        <f t="shared" si="7"/>
        <v>153.2351988</v>
      </c>
      <c r="E116" s="90">
        <f t="shared" si="8"/>
        <v>154.3547788</v>
      </c>
      <c r="F116" s="91">
        <f t="shared" si="9"/>
        <v>1.057904713</v>
      </c>
      <c r="G116" s="90">
        <v>0.9999484979028709</v>
      </c>
      <c r="H116" s="90">
        <f t="shared" si="1"/>
        <v>163.3010583</v>
      </c>
      <c r="I116" s="90">
        <f t="shared" si="2"/>
        <v>191.5590125</v>
      </c>
      <c r="J116" s="90">
        <f t="shared" si="3"/>
        <v>191.5491468</v>
      </c>
      <c r="K116" s="90">
        <f t="shared" si="4"/>
        <v>0.8524843402</v>
      </c>
      <c r="L116" s="90">
        <f t="shared" si="10"/>
        <v>0.7994266096</v>
      </c>
      <c r="M116" s="90">
        <f t="shared" si="11"/>
        <v>1.066369733</v>
      </c>
      <c r="N116" s="90">
        <f t="shared" si="5"/>
        <v>-28.25649878</v>
      </c>
      <c r="O116" s="90">
        <f t="shared" si="6"/>
        <v>798.4297232</v>
      </c>
    </row>
    <row r="117" ht="14.25" customHeight="1">
      <c r="A117" s="90">
        <v>1.0</v>
      </c>
      <c r="B117" s="90">
        <v>116.0</v>
      </c>
      <c r="C117" s="90">
        <v>164.468567</v>
      </c>
      <c r="D117" s="90">
        <f t="shared" si="7"/>
        <v>155.4743588</v>
      </c>
      <c r="E117" s="90">
        <f t="shared" si="8"/>
        <v>156.8320859</v>
      </c>
      <c r="F117" s="91">
        <f t="shared" si="9"/>
        <v>1.048692084</v>
      </c>
      <c r="G117" s="90">
        <v>1.0000594696143654</v>
      </c>
      <c r="H117" s="90">
        <f t="shared" si="1"/>
        <v>164.4587867</v>
      </c>
      <c r="I117" s="90">
        <f t="shared" si="2"/>
        <v>191.5183699</v>
      </c>
      <c r="J117" s="90">
        <f t="shared" si="3"/>
        <v>191.5297594</v>
      </c>
      <c r="K117" s="90">
        <f t="shared" si="4"/>
        <v>0.8587102468</v>
      </c>
      <c r="L117" s="90">
        <f t="shared" si="10"/>
        <v>0.8112846409</v>
      </c>
      <c r="M117" s="90">
        <f t="shared" si="11"/>
        <v>1.058457419</v>
      </c>
      <c r="N117" s="90">
        <f t="shared" si="5"/>
        <v>-27.06119243</v>
      </c>
      <c r="O117" s="90">
        <f t="shared" si="6"/>
        <v>732.308136</v>
      </c>
    </row>
    <row r="118" ht="14.25" customHeight="1">
      <c r="A118" s="90">
        <v>2.0</v>
      </c>
      <c r="B118" s="90">
        <v>117.0</v>
      </c>
      <c r="C118" s="90">
        <v>164.547607</v>
      </c>
      <c r="D118" s="90">
        <f t="shared" si="7"/>
        <v>158.189813</v>
      </c>
      <c r="E118" s="90">
        <f t="shared" si="8"/>
        <v>159.055438</v>
      </c>
      <c r="F118" s="91">
        <f t="shared" si="9"/>
        <v>1.034529904</v>
      </c>
      <c r="G118" s="90">
        <v>1.0018825920928427</v>
      </c>
      <c r="H118" s="90">
        <f t="shared" si="1"/>
        <v>164.2384131</v>
      </c>
      <c r="I118" s="90">
        <f t="shared" si="2"/>
        <v>191.4777274</v>
      </c>
      <c r="J118" s="90">
        <f t="shared" si="3"/>
        <v>191.8382018</v>
      </c>
      <c r="K118" s="90">
        <f t="shared" si="4"/>
        <v>0.8577416044</v>
      </c>
      <c r="L118" s="90">
        <f t="shared" si="10"/>
        <v>0.8256293634</v>
      </c>
      <c r="M118" s="90">
        <f t="shared" si="11"/>
        <v>1.038894257</v>
      </c>
      <c r="N118" s="90">
        <f t="shared" si="5"/>
        <v>-27.29059481</v>
      </c>
      <c r="O118" s="90">
        <f t="shared" si="6"/>
        <v>744.7765649</v>
      </c>
    </row>
    <row r="119" ht="14.25" customHeight="1">
      <c r="A119" s="90">
        <v>3.0</v>
      </c>
      <c r="B119" s="90">
        <v>118.0</v>
      </c>
      <c r="C119" s="90">
        <v>169.221588</v>
      </c>
      <c r="D119" s="90">
        <f t="shared" si="7"/>
        <v>159.921063</v>
      </c>
      <c r="E119" s="90">
        <f t="shared" si="8"/>
        <v>161.3983564</v>
      </c>
      <c r="F119" s="91">
        <f t="shared" si="9"/>
        <v>1.048471569</v>
      </c>
      <c r="G119" s="90">
        <v>0.9988670216408811</v>
      </c>
      <c r="H119" s="90">
        <f t="shared" si="1"/>
        <v>169.4135299</v>
      </c>
      <c r="I119" s="90">
        <f t="shared" si="2"/>
        <v>191.4370848</v>
      </c>
      <c r="J119" s="90">
        <f t="shared" si="3"/>
        <v>191.2201907</v>
      </c>
      <c r="K119" s="90">
        <f t="shared" si="4"/>
        <v>0.884956695</v>
      </c>
      <c r="L119" s="90">
        <f t="shared" si="10"/>
        <v>0.834826197</v>
      </c>
      <c r="M119" s="90">
        <f t="shared" si="11"/>
        <v>1.060049024</v>
      </c>
      <c r="N119" s="90">
        <f t="shared" si="5"/>
        <v>-21.99860272</v>
      </c>
      <c r="O119" s="90">
        <f t="shared" si="6"/>
        <v>483.9385216</v>
      </c>
    </row>
    <row r="120" ht="14.25" customHeight="1">
      <c r="A120" s="90">
        <v>4.0</v>
      </c>
      <c r="B120" s="90">
        <v>119.0</v>
      </c>
      <c r="C120" s="90">
        <v>172.116867</v>
      </c>
      <c r="D120" s="90">
        <f t="shared" si="7"/>
        <v>162.8756498</v>
      </c>
      <c r="E120" s="90">
        <f t="shared" si="8"/>
        <v>164.8025526</v>
      </c>
      <c r="F120" s="91">
        <f t="shared" si="9"/>
        <v>1.044382288</v>
      </c>
      <c r="G120" s="90">
        <v>0.99924241874904</v>
      </c>
      <c r="H120" s="90">
        <f t="shared" si="1"/>
        <v>172.2473584</v>
      </c>
      <c r="I120" s="90">
        <f t="shared" si="2"/>
        <v>191.3964422</v>
      </c>
      <c r="J120" s="90">
        <f t="shared" si="3"/>
        <v>191.2514439</v>
      </c>
      <c r="K120" s="90">
        <f t="shared" si="4"/>
        <v>0.8999506802</v>
      </c>
      <c r="L120" s="90">
        <f t="shared" si="10"/>
        <v>0.8504487201</v>
      </c>
      <c r="M120" s="90">
        <f t="shared" si="11"/>
        <v>1.058206872</v>
      </c>
      <c r="N120" s="90">
        <f t="shared" si="5"/>
        <v>-19.13457688</v>
      </c>
      <c r="O120" s="90">
        <f t="shared" si="6"/>
        <v>366.1320323</v>
      </c>
    </row>
    <row r="121" ht="14.25" customHeight="1">
      <c r="A121" s="90">
        <v>5.0</v>
      </c>
      <c r="B121" s="90">
        <v>120.0</v>
      </c>
      <c r="C121" s="90">
        <v>172.176163</v>
      </c>
      <c r="D121" s="90">
        <f t="shared" si="7"/>
        <v>166.7294554</v>
      </c>
      <c r="E121" s="90">
        <f t="shared" si="8"/>
        <v>167.6178069</v>
      </c>
      <c r="F121" s="91">
        <f t="shared" si="9"/>
        <v>1.027194939</v>
      </c>
      <c r="G121" s="90">
        <v>0.9999484979028709</v>
      </c>
      <c r="H121" s="90">
        <f t="shared" si="1"/>
        <v>172.1850309</v>
      </c>
      <c r="I121" s="90">
        <f t="shared" si="2"/>
        <v>191.3557997</v>
      </c>
      <c r="J121" s="90">
        <f t="shared" si="3"/>
        <v>191.3459444</v>
      </c>
      <c r="K121" s="90">
        <f t="shared" si="4"/>
        <v>0.8998161079</v>
      </c>
      <c r="L121" s="90">
        <f t="shared" si="10"/>
        <v>0.8707687133</v>
      </c>
      <c r="M121" s="90">
        <f t="shared" si="11"/>
        <v>1.033358335</v>
      </c>
      <c r="N121" s="90">
        <f t="shared" si="5"/>
        <v>-19.16978145</v>
      </c>
      <c r="O121" s="90">
        <f t="shared" si="6"/>
        <v>367.4805208</v>
      </c>
    </row>
    <row r="122" ht="14.25" customHeight="1">
      <c r="A122" s="90">
        <v>1.0</v>
      </c>
      <c r="B122" s="90">
        <v>121.0</v>
      </c>
      <c r="C122" s="90">
        <v>168.915268</v>
      </c>
      <c r="D122" s="90">
        <f t="shared" si="7"/>
        <v>168.5061584</v>
      </c>
      <c r="E122" s="90">
        <f t="shared" si="8"/>
        <v>168.9508285</v>
      </c>
      <c r="F122" s="91">
        <f t="shared" si="9"/>
        <v>0.9997895216</v>
      </c>
      <c r="G122" s="90">
        <v>1.0000594696143654</v>
      </c>
      <c r="H122" s="90">
        <f t="shared" si="1"/>
        <v>168.9052233</v>
      </c>
      <c r="I122" s="90">
        <f t="shared" si="2"/>
        <v>191.3151571</v>
      </c>
      <c r="J122" s="90">
        <f t="shared" si="3"/>
        <v>191.3265346</v>
      </c>
      <c r="K122" s="90">
        <f t="shared" si="4"/>
        <v>0.8828637826</v>
      </c>
      <c r="L122" s="90">
        <f t="shared" si="10"/>
        <v>0.8802350669</v>
      </c>
      <c r="M122" s="90">
        <f t="shared" si="11"/>
        <v>1.002986379</v>
      </c>
      <c r="N122" s="90">
        <f t="shared" si="5"/>
        <v>-22.41126655</v>
      </c>
      <c r="O122" s="90">
        <f t="shared" si="6"/>
        <v>502.2648685</v>
      </c>
    </row>
    <row r="123" ht="14.25" customHeight="1">
      <c r="A123" s="90">
        <v>2.0</v>
      </c>
      <c r="B123" s="90">
        <v>122.0</v>
      </c>
      <c r="C123" s="90">
        <v>169.113724</v>
      </c>
      <c r="D123" s="90">
        <f t="shared" si="7"/>
        <v>169.3954986</v>
      </c>
      <c r="E123" s="90">
        <f t="shared" si="8"/>
        <v>169.8521103</v>
      </c>
      <c r="F123" s="91">
        <f t="shared" si="9"/>
        <v>0.9956527693</v>
      </c>
      <c r="G123" s="90">
        <v>1.0018825920928427</v>
      </c>
      <c r="H123" s="90">
        <f t="shared" si="1"/>
        <v>168.7959501</v>
      </c>
      <c r="I123" s="90">
        <f t="shared" si="2"/>
        <v>191.2745146</v>
      </c>
      <c r="J123" s="90">
        <f t="shared" si="3"/>
        <v>191.6346064</v>
      </c>
      <c r="K123" s="90">
        <f t="shared" si="4"/>
        <v>0.8824800861</v>
      </c>
      <c r="L123" s="90">
        <f t="shared" si="10"/>
        <v>0.885065774</v>
      </c>
      <c r="M123" s="90">
        <f t="shared" si="11"/>
        <v>0.9970785359</v>
      </c>
      <c r="N123" s="90">
        <f t="shared" si="5"/>
        <v>-22.52088244</v>
      </c>
      <c r="O123" s="90">
        <f t="shared" si="6"/>
        <v>507.1901461</v>
      </c>
    </row>
    <row r="124" ht="14.25" customHeight="1">
      <c r="A124" s="90">
        <v>3.0</v>
      </c>
      <c r="B124" s="90">
        <v>123.0</v>
      </c>
      <c r="C124" s="90">
        <v>168.141174</v>
      </c>
      <c r="D124" s="90">
        <f t="shared" si="7"/>
        <v>170.308722</v>
      </c>
      <c r="E124" s="90">
        <f t="shared" si="8"/>
        <v>170.2006806</v>
      </c>
      <c r="F124" s="91">
        <f t="shared" si="9"/>
        <v>0.9878995396</v>
      </c>
      <c r="G124" s="90">
        <v>0.9988670216408811</v>
      </c>
      <c r="H124" s="90">
        <f t="shared" si="1"/>
        <v>168.3318904</v>
      </c>
      <c r="I124" s="90">
        <f t="shared" si="2"/>
        <v>191.233872</v>
      </c>
      <c r="J124" s="90">
        <f t="shared" si="3"/>
        <v>191.0172082</v>
      </c>
      <c r="K124" s="90">
        <f t="shared" si="4"/>
        <v>0.8802409773</v>
      </c>
      <c r="L124" s="90">
        <f t="shared" si="10"/>
        <v>0.8900134704</v>
      </c>
      <c r="M124" s="90">
        <f t="shared" si="11"/>
        <v>0.989019837</v>
      </c>
      <c r="N124" s="90">
        <f t="shared" si="5"/>
        <v>-22.87603416</v>
      </c>
      <c r="O124" s="90">
        <f t="shared" si="6"/>
        <v>523.3129388</v>
      </c>
    </row>
    <row r="125" ht="14.25" customHeight="1">
      <c r="A125" s="90">
        <v>4.0</v>
      </c>
      <c r="B125" s="90">
        <v>124.0</v>
      </c>
      <c r="C125" s="90">
        <v>169.590073</v>
      </c>
      <c r="D125" s="90">
        <f t="shared" si="7"/>
        <v>170.0926392</v>
      </c>
      <c r="E125" s="90">
        <f t="shared" si="8"/>
        <v>169.8399598</v>
      </c>
      <c r="F125" s="91">
        <f t="shared" si="9"/>
        <v>0.9985286925</v>
      </c>
      <c r="G125" s="90">
        <v>0.99924241874904</v>
      </c>
      <c r="H125" s="90">
        <f t="shared" si="1"/>
        <v>169.7186487</v>
      </c>
      <c r="I125" s="90">
        <f t="shared" si="2"/>
        <v>191.1932294</v>
      </c>
      <c r="J125" s="90">
        <f t="shared" si="3"/>
        <v>191.048385</v>
      </c>
      <c r="K125" s="90">
        <f t="shared" si="4"/>
        <v>0.8876812697</v>
      </c>
      <c r="L125" s="90">
        <f t="shared" si="10"/>
        <v>0.8890703268</v>
      </c>
      <c r="M125" s="90">
        <f t="shared" si="11"/>
        <v>0.9984376296</v>
      </c>
      <c r="N125" s="90">
        <f t="shared" si="5"/>
        <v>-21.45831203</v>
      </c>
      <c r="O125" s="90">
        <f t="shared" si="6"/>
        <v>460.4591553</v>
      </c>
    </row>
    <row r="126" ht="14.25" customHeight="1">
      <c r="A126" s="90">
        <v>5.0</v>
      </c>
      <c r="B126" s="90">
        <v>125.0</v>
      </c>
      <c r="C126" s="90">
        <v>168.885468</v>
      </c>
      <c r="D126" s="90">
        <f t="shared" si="7"/>
        <v>169.5872804</v>
      </c>
      <c r="E126" s="90">
        <f t="shared" si="8"/>
        <v>169.2582109</v>
      </c>
      <c r="F126" s="91">
        <f t="shared" si="9"/>
        <v>0.9977977854</v>
      </c>
      <c r="G126" s="90">
        <v>0.9999484979028709</v>
      </c>
      <c r="H126" s="90">
        <f t="shared" si="1"/>
        <v>168.8941664</v>
      </c>
      <c r="I126" s="90">
        <f t="shared" si="2"/>
        <v>191.1525869</v>
      </c>
      <c r="J126" s="90">
        <f t="shared" si="3"/>
        <v>191.1427421</v>
      </c>
      <c r="K126" s="90">
        <f t="shared" si="4"/>
        <v>0.8835567918</v>
      </c>
      <c r="L126" s="90">
        <f t="shared" si="10"/>
        <v>0.8866164447</v>
      </c>
      <c r="M126" s="90">
        <f t="shared" si="11"/>
        <v>0.9965490681</v>
      </c>
      <c r="N126" s="90">
        <f t="shared" si="5"/>
        <v>-22.25727412</v>
      </c>
      <c r="O126" s="90">
        <f t="shared" si="6"/>
        <v>495.3862512</v>
      </c>
    </row>
    <row r="127" ht="14.25" customHeight="1">
      <c r="A127" s="90">
        <v>1.0</v>
      </c>
      <c r="B127" s="90">
        <v>126.0</v>
      </c>
      <c r="C127" s="90">
        <v>169.500778</v>
      </c>
      <c r="D127" s="90">
        <f t="shared" si="7"/>
        <v>168.9291414</v>
      </c>
      <c r="E127" s="90">
        <f t="shared" si="8"/>
        <v>168.9876924</v>
      </c>
      <c r="F127" s="91">
        <f t="shared" si="9"/>
        <v>1.003036231</v>
      </c>
      <c r="G127" s="90">
        <v>1.0000594696143654</v>
      </c>
      <c r="H127" s="90">
        <f t="shared" si="1"/>
        <v>169.4906985</v>
      </c>
      <c r="I127" s="90">
        <f t="shared" si="2"/>
        <v>191.1119443</v>
      </c>
      <c r="J127" s="90">
        <f t="shared" si="3"/>
        <v>191.1233097</v>
      </c>
      <c r="K127" s="90">
        <f t="shared" si="4"/>
        <v>0.8868660672</v>
      </c>
      <c r="L127" s="90">
        <f t="shared" si="10"/>
        <v>0.8833645815</v>
      </c>
      <c r="M127" s="90">
        <f t="shared" si="11"/>
        <v>1.003963806</v>
      </c>
      <c r="N127" s="90">
        <f t="shared" si="5"/>
        <v>-21.62253167</v>
      </c>
      <c r="O127" s="90">
        <f t="shared" si="6"/>
        <v>467.533876</v>
      </c>
    </row>
    <row r="128" ht="14.25" customHeight="1">
      <c r="A128" s="90">
        <v>2.0</v>
      </c>
      <c r="B128" s="90">
        <v>127.0</v>
      </c>
      <c r="C128" s="90">
        <v>169.123657</v>
      </c>
      <c r="D128" s="90">
        <f t="shared" si="7"/>
        <v>169.0462434</v>
      </c>
      <c r="E128" s="90">
        <f t="shared" si="8"/>
        <v>169.0472367</v>
      </c>
      <c r="F128" s="91">
        <f t="shared" si="9"/>
        <v>1.000452065</v>
      </c>
      <c r="G128" s="90">
        <v>1.0018825920928427</v>
      </c>
      <c r="H128" s="90">
        <f t="shared" si="1"/>
        <v>168.8058644</v>
      </c>
      <c r="I128" s="90">
        <f t="shared" si="2"/>
        <v>191.0713018</v>
      </c>
      <c r="J128" s="90">
        <f t="shared" si="3"/>
        <v>191.4310111</v>
      </c>
      <c r="K128" s="90">
        <f t="shared" si="4"/>
        <v>0.8834705309</v>
      </c>
      <c r="L128" s="90">
        <f t="shared" si="10"/>
        <v>0.8841650384</v>
      </c>
      <c r="M128" s="90">
        <f t="shared" si="11"/>
        <v>0.9992145047</v>
      </c>
      <c r="N128" s="90">
        <f t="shared" si="5"/>
        <v>-22.30735408</v>
      </c>
      <c r="O128" s="90">
        <f t="shared" si="6"/>
        <v>497.6180462</v>
      </c>
    </row>
    <row r="129" ht="14.25" customHeight="1">
      <c r="A129" s="90">
        <v>3.0</v>
      </c>
      <c r="B129" s="90">
        <v>128.0</v>
      </c>
      <c r="C129" s="90">
        <v>169.629761</v>
      </c>
      <c r="D129" s="90">
        <f t="shared" si="7"/>
        <v>169.04823</v>
      </c>
      <c r="E129" s="90">
        <f t="shared" si="8"/>
        <v>169.1970887</v>
      </c>
      <c r="F129" s="91">
        <f t="shared" si="9"/>
        <v>1.002557209</v>
      </c>
      <c r="G129" s="90">
        <v>0.9988670216408811</v>
      </c>
      <c r="H129" s="90">
        <f t="shared" si="1"/>
        <v>169.8221658</v>
      </c>
      <c r="I129" s="90">
        <f t="shared" si="2"/>
        <v>191.0306592</v>
      </c>
      <c r="J129" s="90">
        <f t="shared" si="3"/>
        <v>190.8142256</v>
      </c>
      <c r="K129" s="90">
        <f t="shared" si="4"/>
        <v>0.8889785888</v>
      </c>
      <c r="L129" s="90">
        <f t="shared" si="10"/>
        <v>0.8843631274</v>
      </c>
      <c r="M129" s="90">
        <f t="shared" si="11"/>
        <v>1.005218966</v>
      </c>
      <c r="N129" s="90">
        <f t="shared" si="5"/>
        <v>-21.1844646</v>
      </c>
      <c r="O129" s="90">
        <f t="shared" si="6"/>
        <v>448.7815403</v>
      </c>
    </row>
    <row r="130" ht="14.25" customHeight="1">
      <c r="A130" s="90">
        <v>4.0</v>
      </c>
      <c r="B130" s="90">
        <v>129.0</v>
      </c>
      <c r="C130" s="90">
        <v>170.721405</v>
      </c>
      <c r="D130" s="90">
        <f t="shared" si="7"/>
        <v>169.3459474</v>
      </c>
      <c r="E130" s="90">
        <f t="shared" si="8"/>
        <v>169.4590806</v>
      </c>
      <c r="F130" s="91">
        <f t="shared" si="9"/>
        <v>1.00744914</v>
      </c>
      <c r="G130" s="90">
        <v>0.99924241874904</v>
      </c>
      <c r="H130" s="90">
        <f t="shared" si="1"/>
        <v>170.8508384</v>
      </c>
      <c r="I130" s="90">
        <f t="shared" si="2"/>
        <v>190.9900166</v>
      </c>
      <c r="J130" s="90">
        <f t="shared" si="3"/>
        <v>190.8453262</v>
      </c>
      <c r="K130" s="90">
        <f t="shared" si="4"/>
        <v>0.8945537646</v>
      </c>
      <c r="L130" s="90">
        <f t="shared" si="10"/>
        <v>0.8861106497</v>
      </c>
      <c r="M130" s="90">
        <f t="shared" si="11"/>
        <v>1.009528285</v>
      </c>
      <c r="N130" s="90">
        <f t="shared" si="5"/>
        <v>-20.12392119</v>
      </c>
      <c r="O130" s="90">
        <f t="shared" si="6"/>
        <v>404.9722039</v>
      </c>
    </row>
    <row r="131" ht="14.25" customHeight="1">
      <c r="A131" s="90">
        <v>5.0</v>
      </c>
      <c r="B131" s="90">
        <v>130.0</v>
      </c>
      <c r="C131" s="90">
        <v>169.758789</v>
      </c>
      <c r="D131" s="90">
        <f t="shared" si="7"/>
        <v>169.5722138</v>
      </c>
      <c r="E131" s="90">
        <f t="shared" si="8"/>
        <v>169.6595459</v>
      </c>
      <c r="F131" s="91">
        <f t="shared" si="9"/>
        <v>1.000584954</v>
      </c>
      <c r="G131" s="90">
        <v>0.9999484979028709</v>
      </c>
      <c r="H131" s="90">
        <f t="shared" si="1"/>
        <v>169.7675324</v>
      </c>
      <c r="I131" s="90">
        <f t="shared" si="2"/>
        <v>190.9493741</v>
      </c>
      <c r="J131" s="90">
        <f t="shared" si="3"/>
        <v>190.9395398</v>
      </c>
      <c r="K131" s="90">
        <f t="shared" si="4"/>
        <v>0.8890709027</v>
      </c>
      <c r="L131" s="90">
        <f t="shared" si="10"/>
        <v>0.8874851487</v>
      </c>
      <c r="M131" s="90">
        <f t="shared" si="11"/>
        <v>1.001786795</v>
      </c>
      <c r="N131" s="90">
        <f t="shared" si="5"/>
        <v>-21.18075079</v>
      </c>
      <c r="O131" s="90">
        <f t="shared" si="6"/>
        <v>448.624204</v>
      </c>
    </row>
    <row r="132" ht="14.25" customHeight="1">
      <c r="A132" s="90">
        <v>1.0</v>
      </c>
      <c r="B132" s="90">
        <v>131.0</v>
      </c>
      <c r="C132" s="90">
        <v>171.654251</v>
      </c>
      <c r="D132" s="90">
        <f t="shared" si="7"/>
        <v>169.746878</v>
      </c>
      <c r="E132" s="90">
        <f t="shared" si="8"/>
        <v>169.9622253</v>
      </c>
      <c r="F132" s="91">
        <f t="shared" si="9"/>
        <v>1.009955304</v>
      </c>
      <c r="G132" s="90">
        <v>1.0000594696143654</v>
      </c>
      <c r="H132" s="90">
        <f t="shared" si="1"/>
        <v>171.6440434</v>
      </c>
      <c r="I132" s="90">
        <f t="shared" si="2"/>
        <v>190.9087315</v>
      </c>
      <c r="J132" s="90">
        <f t="shared" si="3"/>
        <v>190.9200848</v>
      </c>
      <c r="K132" s="90">
        <f t="shared" si="4"/>
        <v>0.8990895389</v>
      </c>
      <c r="L132" s="90">
        <f t="shared" si="10"/>
        <v>0.8885879709</v>
      </c>
      <c r="M132" s="90">
        <f t="shared" si="11"/>
        <v>1.011818265</v>
      </c>
      <c r="N132" s="90">
        <f t="shared" si="5"/>
        <v>-19.26583379</v>
      </c>
      <c r="O132" s="90">
        <f t="shared" si="6"/>
        <v>371.1723517</v>
      </c>
    </row>
    <row r="133" ht="14.25" customHeight="1">
      <c r="A133" s="90">
        <v>2.0</v>
      </c>
      <c r="B133" s="90">
        <v>132.0</v>
      </c>
      <c r="C133" s="90">
        <v>172.904678</v>
      </c>
      <c r="D133" s="90">
        <f t="shared" si="7"/>
        <v>170.1775726</v>
      </c>
      <c r="E133" s="90">
        <f t="shared" si="8"/>
        <v>170.5556747</v>
      </c>
      <c r="F133" s="91">
        <f t="shared" si="9"/>
        <v>1.013772648</v>
      </c>
      <c r="G133" s="90">
        <v>1.0018825920928427</v>
      </c>
      <c r="H133" s="90">
        <f t="shared" si="1"/>
        <v>172.5797807</v>
      </c>
      <c r="I133" s="90">
        <f t="shared" si="2"/>
        <v>190.868089</v>
      </c>
      <c r="J133" s="90">
        <f t="shared" si="3"/>
        <v>191.2274157</v>
      </c>
      <c r="K133" s="90">
        <f t="shared" si="4"/>
        <v>0.9041835207</v>
      </c>
      <c r="L133" s="90">
        <f t="shared" si="10"/>
        <v>0.8910326652</v>
      </c>
      <c r="M133" s="90">
        <f t="shared" si="11"/>
        <v>1.014759117</v>
      </c>
      <c r="N133" s="90">
        <f t="shared" si="5"/>
        <v>-18.32273772</v>
      </c>
      <c r="O133" s="90">
        <f t="shared" si="6"/>
        <v>335.7227176</v>
      </c>
    </row>
    <row r="134" ht="14.25" customHeight="1">
      <c r="A134" s="90">
        <v>3.0</v>
      </c>
      <c r="B134" s="90">
        <v>133.0</v>
      </c>
      <c r="C134" s="90">
        <v>173.003922</v>
      </c>
      <c r="D134" s="90">
        <f t="shared" si="7"/>
        <v>170.9337768</v>
      </c>
      <c r="E134" s="90">
        <f t="shared" si="8"/>
        <v>171.2711929</v>
      </c>
      <c r="F134" s="91">
        <f t="shared" si="9"/>
        <v>1.010116874</v>
      </c>
      <c r="G134" s="90">
        <v>0.9988670216408811</v>
      </c>
      <c r="H134" s="90">
        <f t="shared" si="1"/>
        <v>173.200154</v>
      </c>
      <c r="I134" s="90">
        <f t="shared" si="2"/>
        <v>190.8274464</v>
      </c>
      <c r="J134" s="90">
        <f t="shared" si="3"/>
        <v>190.611243</v>
      </c>
      <c r="K134" s="90">
        <f t="shared" si="4"/>
        <v>0.9076270594</v>
      </c>
      <c r="L134" s="90">
        <f t="shared" si="10"/>
        <v>0.8951752631</v>
      </c>
      <c r="M134" s="90">
        <f t="shared" si="11"/>
        <v>1.013909898</v>
      </c>
      <c r="N134" s="90">
        <f t="shared" si="5"/>
        <v>-17.60732104</v>
      </c>
      <c r="O134" s="90">
        <f t="shared" si="6"/>
        <v>310.0177542</v>
      </c>
    </row>
    <row r="135" ht="14.25" customHeight="1">
      <c r="A135" s="90">
        <v>4.0</v>
      </c>
      <c r="B135" s="90">
        <v>134.0</v>
      </c>
      <c r="C135" s="90">
        <v>173.539795</v>
      </c>
      <c r="D135" s="90">
        <f t="shared" si="7"/>
        <v>171.608609</v>
      </c>
      <c r="E135" s="90">
        <f t="shared" si="8"/>
        <v>171.890448</v>
      </c>
      <c r="F135" s="91">
        <f t="shared" si="9"/>
        <v>1.009595338</v>
      </c>
      <c r="G135" s="90">
        <v>0.99924241874904</v>
      </c>
      <c r="H135" s="90">
        <f t="shared" si="1"/>
        <v>173.6713652</v>
      </c>
      <c r="I135" s="90">
        <f t="shared" si="2"/>
        <v>190.7868038</v>
      </c>
      <c r="J135" s="90">
        <f t="shared" si="3"/>
        <v>190.6422673</v>
      </c>
      <c r="K135" s="90">
        <f t="shared" si="4"/>
        <v>0.9102902385</v>
      </c>
      <c r="L135" s="90">
        <f t="shared" si="10"/>
        <v>0.8989049573</v>
      </c>
      <c r="M135" s="90">
        <f t="shared" si="11"/>
        <v>1.012665723</v>
      </c>
      <c r="N135" s="90">
        <f t="shared" si="5"/>
        <v>-17.10247234</v>
      </c>
      <c r="O135" s="90">
        <f t="shared" si="6"/>
        <v>292.4945602</v>
      </c>
    </row>
    <row r="136" ht="14.25" customHeight="1">
      <c r="A136" s="90">
        <v>5.0</v>
      </c>
      <c r="B136" s="90">
        <v>135.0</v>
      </c>
      <c r="C136" s="90">
        <v>171.832886</v>
      </c>
      <c r="D136" s="90">
        <f t="shared" si="7"/>
        <v>172.172287</v>
      </c>
      <c r="E136" s="90">
        <f t="shared" si="8"/>
        <v>172.3796967</v>
      </c>
      <c r="F136" s="91">
        <f t="shared" si="9"/>
        <v>0.9968278706</v>
      </c>
      <c r="G136" s="90">
        <v>0.9999484979028709</v>
      </c>
      <c r="H136" s="90">
        <f t="shared" si="1"/>
        <v>171.8417362</v>
      </c>
      <c r="I136" s="90">
        <f t="shared" si="2"/>
        <v>190.7461613</v>
      </c>
      <c r="J136" s="90">
        <f t="shared" si="3"/>
        <v>190.7363375</v>
      </c>
      <c r="K136" s="90">
        <f t="shared" si="4"/>
        <v>0.9008922384</v>
      </c>
      <c r="L136" s="90">
        <f t="shared" si="10"/>
        <v>0.902052252</v>
      </c>
      <c r="M136" s="90">
        <f t="shared" si="11"/>
        <v>0.9987140284</v>
      </c>
      <c r="N136" s="90">
        <f t="shared" si="5"/>
        <v>-18.90345146</v>
      </c>
      <c r="O136" s="90">
        <f t="shared" si="6"/>
        <v>357.3404771</v>
      </c>
    </row>
    <row r="137" ht="14.25" customHeight="1">
      <c r="A137" s="90">
        <v>1.0</v>
      </c>
      <c r="B137" s="90">
        <v>136.0</v>
      </c>
      <c r="C137" s="90">
        <v>173.639038</v>
      </c>
      <c r="D137" s="90">
        <f t="shared" si="7"/>
        <v>172.5871064</v>
      </c>
      <c r="E137" s="90">
        <f t="shared" si="8"/>
        <v>172.7855851</v>
      </c>
      <c r="F137" s="91">
        <f t="shared" si="9"/>
        <v>1.004939376</v>
      </c>
      <c r="G137" s="90">
        <v>1.0000594696143654</v>
      </c>
      <c r="H137" s="90">
        <f t="shared" si="1"/>
        <v>173.6287124</v>
      </c>
      <c r="I137" s="90">
        <f t="shared" si="2"/>
        <v>190.7055187</v>
      </c>
      <c r="J137" s="90">
        <f t="shared" si="3"/>
        <v>190.7168599</v>
      </c>
      <c r="K137" s="90">
        <f t="shared" si="4"/>
        <v>0.9104545769</v>
      </c>
      <c r="L137" s="90">
        <f t="shared" si="10"/>
        <v>0.9044165192</v>
      </c>
      <c r="M137" s="90">
        <f t="shared" si="11"/>
        <v>1.006676191</v>
      </c>
      <c r="N137" s="90">
        <f t="shared" si="5"/>
        <v>-17.07782191</v>
      </c>
      <c r="O137" s="90">
        <f t="shared" si="6"/>
        <v>291.6520013</v>
      </c>
    </row>
    <row r="138" ht="14.25" customHeight="1">
      <c r="A138" s="90">
        <v>2.0</v>
      </c>
      <c r="B138" s="90">
        <v>137.0</v>
      </c>
      <c r="C138" s="90">
        <v>174.51236</v>
      </c>
      <c r="D138" s="90">
        <f t="shared" si="7"/>
        <v>172.9840638</v>
      </c>
      <c r="E138" s="90">
        <f t="shared" si="8"/>
        <v>173.144832</v>
      </c>
      <c r="F138" s="91">
        <f t="shared" si="9"/>
        <v>1.007898174</v>
      </c>
      <c r="G138" s="90">
        <v>1.0018825920928427</v>
      </c>
      <c r="H138" s="90">
        <f t="shared" si="1"/>
        <v>174.1844417</v>
      </c>
      <c r="I138" s="90">
        <f t="shared" si="2"/>
        <v>190.6648762</v>
      </c>
      <c r="J138" s="90">
        <f t="shared" si="3"/>
        <v>191.0238204</v>
      </c>
      <c r="K138" s="90">
        <f t="shared" si="4"/>
        <v>0.9135633434</v>
      </c>
      <c r="L138" s="90">
        <f t="shared" si="10"/>
        <v>0.9066895268</v>
      </c>
      <c r="M138" s="90">
        <f t="shared" si="11"/>
        <v>1.007581224</v>
      </c>
      <c r="N138" s="90">
        <f t="shared" si="5"/>
        <v>-16.51146036</v>
      </c>
      <c r="O138" s="90">
        <f t="shared" si="6"/>
        <v>272.6283231</v>
      </c>
    </row>
    <row r="139" ht="14.25" customHeight="1">
      <c r="A139" s="90">
        <v>3.0</v>
      </c>
      <c r="B139" s="90">
        <v>138.0</v>
      </c>
      <c r="C139" s="90">
        <v>174.194778</v>
      </c>
      <c r="D139" s="90">
        <f t="shared" si="7"/>
        <v>173.3056002</v>
      </c>
      <c r="E139" s="90">
        <f t="shared" si="8"/>
        <v>173.4246858</v>
      </c>
      <c r="F139" s="91">
        <f t="shared" si="9"/>
        <v>1.004440499</v>
      </c>
      <c r="G139" s="90">
        <v>0.9988670216408811</v>
      </c>
      <c r="H139" s="90">
        <f t="shared" si="1"/>
        <v>174.3923608</v>
      </c>
      <c r="I139" s="90">
        <f t="shared" si="2"/>
        <v>190.6242336</v>
      </c>
      <c r="J139" s="90">
        <f t="shared" si="3"/>
        <v>190.4082605</v>
      </c>
      <c r="K139" s="90">
        <f t="shared" si="4"/>
        <v>0.9148488493</v>
      </c>
      <c r="L139" s="90">
        <f t="shared" si="10"/>
        <v>0.9085654913</v>
      </c>
      <c r="M139" s="90">
        <f t="shared" si="11"/>
        <v>1.006915691</v>
      </c>
      <c r="N139" s="90">
        <f t="shared" si="5"/>
        <v>-16.21348248</v>
      </c>
      <c r="O139" s="90">
        <f t="shared" si="6"/>
        <v>262.8770141</v>
      </c>
    </row>
    <row r="140" ht="14.25" customHeight="1">
      <c r="A140" s="90">
        <v>4.0</v>
      </c>
      <c r="B140" s="90">
        <v>139.0</v>
      </c>
      <c r="C140" s="90">
        <v>173.192474</v>
      </c>
      <c r="D140" s="90">
        <f t="shared" si="7"/>
        <v>173.5437714</v>
      </c>
      <c r="E140" s="90">
        <f t="shared" si="8"/>
        <v>173.5090393</v>
      </c>
      <c r="F140" s="91">
        <f t="shared" si="9"/>
        <v>0.9981755112</v>
      </c>
      <c r="G140" s="90">
        <v>0.99924241874904</v>
      </c>
      <c r="H140" s="90">
        <f t="shared" si="1"/>
        <v>173.3237808</v>
      </c>
      <c r="I140" s="90">
        <f t="shared" si="2"/>
        <v>190.5835911</v>
      </c>
      <c r="J140" s="90">
        <f t="shared" si="3"/>
        <v>190.4392085</v>
      </c>
      <c r="K140" s="90">
        <f t="shared" si="4"/>
        <v>0.9094370606</v>
      </c>
      <c r="L140" s="90">
        <f t="shared" si="10"/>
        <v>0.9100098493</v>
      </c>
      <c r="M140" s="90">
        <f t="shared" si="11"/>
        <v>0.9993705687</v>
      </c>
      <c r="N140" s="90">
        <f t="shared" si="5"/>
        <v>-17.2467345</v>
      </c>
      <c r="O140" s="90">
        <f t="shared" si="6"/>
        <v>297.4498508</v>
      </c>
    </row>
    <row r="141" ht="14.25" customHeight="1">
      <c r="A141" s="90">
        <v>5.0</v>
      </c>
      <c r="B141" s="90">
        <v>140.0</v>
      </c>
      <c r="C141" s="90">
        <v>171.187836</v>
      </c>
      <c r="D141" s="90">
        <f t="shared" si="7"/>
        <v>173.4743072</v>
      </c>
      <c r="E141" s="90">
        <f t="shared" si="8"/>
        <v>173.4098022</v>
      </c>
      <c r="F141" s="91">
        <f t="shared" si="9"/>
        <v>0.9871866171</v>
      </c>
      <c r="G141" s="90">
        <v>0.9999484979028709</v>
      </c>
      <c r="H141" s="90">
        <f t="shared" si="1"/>
        <v>171.196653</v>
      </c>
      <c r="I141" s="90">
        <f t="shared" si="2"/>
        <v>190.5429485</v>
      </c>
      <c r="J141" s="90">
        <f t="shared" si="3"/>
        <v>190.5331351</v>
      </c>
      <c r="K141" s="90">
        <f t="shared" si="4"/>
        <v>0.8984675337</v>
      </c>
      <c r="L141" s="90">
        <f t="shared" si="10"/>
        <v>0.9098392137</v>
      </c>
      <c r="M141" s="90">
        <f t="shared" si="11"/>
        <v>0.9875014399</v>
      </c>
      <c r="N141" s="90">
        <f t="shared" si="5"/>
        <v>-19.34529913</v>
      </c>
      <c r="O141" s="90">
        <f t="shared" si="6"/>
        <v>374.2405984</v>
      </c>
    </row>
    <row r="142" ht="14.25" customHeight="1">
      <c r="A142" s="90">
        <v>1.0</v>
      </c>
      <c r="B142" s="90">
        <v>141.0</v>
      </c>
      <c r="C142" s="90">
        <v>171.594711</v>
      </c>
      <c r="D142" s="90">
        <f t="shared" si="7"/>
        <v>173.3452972</v>
      </c>
      <c r="E142" s="90">
        <f t="shared" si="8"/>
        <v>173.1408645</v>
      </c>
      <c r="F142" s="91">
        <f t="shared" si="9"/>
        <v>0.9910699678</v>
      </c>
      <c r="G142" s="90">
        <v>1.0000594696143654</v>
      </c>
      <c r="H142" s="90">
        <f t="shared" si="1"/>
        <v>171.5845069</v>
      </c>
      <c r="I142" s="90">
        <f t="shared" si="2"/>
        <v>190.5023059</v>
      </c>
      <c r="J142" s="90">
        <f t="shared" si="3"/>
        <v>190.513635</v>
      </c>
      <c r="K142" s="90">
        <f t="shared" si="4"/>
        <v>0.9006951706</v>
      </c>
      <c r="L142" s="90">
        <f t="shared" si="10"/>
        <v>0.9093542728</v>
      </c>
      <c r="M142" s="90">
        <f t="shared" si="11"/>
        <v>0.9904777462</v>
      </c>
      <c r="N142" s="90">
        <f t="shared" si="5"/>
        <v>-18.91892403</v>
      </c>
      <c r="O142" s="90">
        <f t="shared" si="6"/>
        <v>357.9256865</v>
      </c>
    </row>
    <row r="143" ht="14.25" customHeight="1">
      <c r="A143" s="90">
        <v>2.0</v>
      </c>
      <c r="B143" s="90">
        <v>142.0</v>
      </c>
      <c r="C143" s="90">
        <v>177.539139</v>
      </c>
      <c r="D143" s="90">
        <f t="shared" si="7"/>
        <v>172.9364318</v>
      </c>
      <c r="E143" s="90">
        <f t="shared" si="8"/>
        <v>173.2391097</v>
      </c>
      <c r="F143" s="91">
        <f t="shared" si="9"/>
        <v>1.024821354</v>
      </c>
      <c r="G143" s="90">
        <v>1.0018825920928427</v>
      </c>
      <c r="H143" s="90">
        <f t="shared" si="1"/>
        <v>177.2055333</v>
      </c>
      <c r="I143" s="90">
        <f t="shared" si="2"/>
        <v>190.4616634</v>
      </c>
      <c r="J143" s="90">
        <f t="shared" si="3"/>
        <v>190.820225</v>
      </c>
      <c r="K143" s="90">
        <f t="shared" si="4"/>
        <v>0.9304000087</v>
      </c>
      <c r="L143" s="90">
        <f t="shared" si="10"/>
        <v>0.9074023915</v>
      </c>
      <c r="M143" s="90">
        <f t="shared" si="11"/>
        <v>1.025344453</v>
      </c>
      <c r="N143" s="90">
        <f t="shared" si="5"/>
        <v>-13.281086</v>
      </c>
      <c r="O143" s="90">
        <f t="shared" si="6"/>
        <v>176.3872452</v>
      </c>
    </row>
    <row r="144" ht="14.25" customHeight="1">
      <c r="A144" s="90">
        <v>3.0</v>
      </c>
      <c r="B144" s="90">
        <v>143.0</v>
      </c>
      <c r="C144" s="90">
        <v>179.533875</v>
      </c>
      <c r="D144" s="90">
        <f t="shared" si="7"/>
        <v>173.5417876</v>
      </c>
      <c r="E144" s="90">
        <f t="shared" si="8"/>
        <v>174.0756973</v>
      </c>
      <c r="F144" s="91">
        <f t="shared" si="9"/>
        <v>1.031355197</v>
      </c>
      <c r="G144" s="90">
        <v>0.9988670216408811</v>
      </c>
      <c r="H144" s="90">
        <f t="shared" si="1"/>
        <v>179.7375137</v>
      </c>
      <c r="I144" s="90">
        <f t="shared" si="2"/>
        <v>190.4210208</v>
      </c>
      <c r="J144" s="90">
        <f t="shared" si="3"/>
        <v>190.2052779</v>
      </c>
      <c r="K144" s="90">
        <f t="shared" si="4"/>
        <v>0.9438953375</v>
      </c>
      <c r="L144" s="90">
        <f t="shared" si="10"/>
        <v>0.9107697246</v>
      </c>
      <c r="M144" s="90">
        <f t="shared" si="11"/>
        <v>1.036371008</v>
      </c>
      <c r="N144" s="90">
        <f t="shared" si="5"/>
        <v>-10.67140292</v>
      </c>
      <c r="O144" s="90">
        <f t="shared" si="6"/>
        <v>113.8788403</v>
      </c>
    </row>
    <row r="145" ht="14.25" customHeight="1">
      <c r="A145" s="90">
        <v>4.0</v>
      </c>
      <c r="B145" s="90">
        <v>144.0</v>
      </c>
      <c r="C145" s="90">
        <v>180.327774</v>
      </c>
      <c r="D145" s="90">
        <f t="shared" si="7"/>
        <v>174.609607</v>
      </c>
      <c r="E145" s="90">
        <f t="shared" si="8"/>
        <v>175.323137</v>
      </c>
      <c r="F145" s="91">
        <f t="shared" si="9"/>
        <v>1.028545217</v>
      </c>
      <c r="G145" s="90">
        <v>0.99924241874904</v>
      </c>
      <c r="H145" s="90">
        <f t="shared" si="1"/>
        <v>180.4644905</v>
      </c>
      <c r="I145" s="90">
        <f t="shared" si="2"/>
        <v>190.3803783</v>
      </c>
      <c r="J145" s="90">
        <f t="shared" si="3"/>
        <v>190.2361497</v>
      </c>
      <c r="K145" s="90">
        <f t="shared" si="4"/>
        <v>0.9479153901</v>
      </c>
      <c r="L145" s="90">
        <f t="shared" si="10"/>
        <v>0.9165790222</v>
      </c>
      <c r="M145" s="90">
        <f t="shared" si="11"/>
        <v>1.034188397</v>
      </c>
      <c r="N145" s="90">
        <f t="shared" si="5"/>
        <v>-9.90837565</v>
      </c>
      <c r="O145" s="90">
        <f t="shared" si="6"/>
        <v>98.17590803</v>
      </c>
    </row>
    <row r="146" ht="14.25" customHeight="1">
      <c r="A146" s="90">
        <v>5.0</v>
      </c>
      <c r="B146" s="90">
        <v>145.0</v>
      </c>
      <c r="C146" s="90">
        <v>182.332397</v>
      </c>
      <c r="D146" s="90">
        <f t="shared" si="7"/>
        <v>176.036667</v>
      </c>
      <c r="E146" s="90">
        <f t="shared" si="8"/>
        <v>177.1511231</v>
      </c>
      <c r="F146" s="91">
        <f t="shared" si="9"/>
        <v>1.029247762</v>
      </c>
      <c r="G146" s="90">
        <v>0.9999484979028709</v>
      </c>
      <c r="H146" s="90">
        <f t="shared" si="1"/>
        <v>182.341788</v>
      </c>
      <c r="I146" s="90">
        <f t="shared" si="2"/>
        <v>190.3397357</v>
      </c>
      <c r="J146" s="90">
        <f t="shared" si="3"/>
        <v>190.3299328</v>
      </c>
      <c r="K146" s="90">
        <f t="shared" si="4"/>
        <v>0.9579806724</v>
      </c>
      <c r="L146" s="90">
        <f t="shared" si="10"/>
        <v>0.9242746881</v>
      </c>
      <c r="M146" s="90">
        <f t="shared" si="11"/>
        <v>1.036467497</v>
      </c>
      <c r="N146" s="90">
        <f t="shared" si="5"/>
        <v>-7.997535801</v>
      </c>
      <c r="O146" s="90">
        <f t="shared" si="6"/>
        <v>63.96057889</v>
      </c>
    </row>
    <row r="147" ht="14.25" customHeight="1">
      <c r="A147" s="90">
        <v>1.0</v>
      </c>
      <c r="B147" s="90">
        <v>146.0</v>
      </c>
      <c r="C147" s="90">
        <v>184.704224</v>
      </c>
      <c r="D147" s="90">
        <f t="shared" si="7"/>
        <v>178.2655792</v>
      </c>
      <c r="E147" s="90">
        <f t="shared" si="8"/>
        <v>179.5765305</v>
      </c>
      <c r="F147" s="91">
        <f t="shared" si="9"/>
        <v>1.028554363</v>
      </c>
      <c r="G147" s="90">
        <v>1.0000594696143654</v>
      </c>
      <c r="H147" s="90">
        <f t="shared" si="1"/>
        <v>184.6932404</v>
      </c>
      <c r="I147" s="90">
        <f t="shared" si="2"/>
        <v>190.2990931</v>
      </c>
      <c r="J147" s="90">
        <f t="shared" si="3"/>
        <v>190.3104102</v>
      </c>
      <c r="K147" s="90">
        <f t="shared" si="4"/>
        <v>0.9705418839</v>
      </c>
      <c r="L147" s="90">
        <f t="shared" si="10"/>
        <v>0.9361773159</v>
      </c>
      <c r="M147" s="90">
        <f t="shared" si="11"/>
        <v>1.036707328</v>
      </c>
      <c r="N147" s="90">
        <f t="shared" si="5"/>
        <v>-5.606186151</v>
      </c>
      <c r="O147" s="90">
        <f t="shared" si="6"/>
        <v>31.42932316</v>
      </c>
    </row>
    <row r="148" ht="14.25" customHeight="1">
      <c r="A148" s="90">
        <v>2.0</v>
      </c>
      <c r="B148" s="90">
        <v>147.0</v>
      </c>
      <c r="C148" s="90">
        <v>186.589783</v>
      </c>
      <c r="D148" s="90">
        <f t="shared" si="7"/>
        <v>180.8874818</v>
      </c>
      <c r="E148" s="90">
        <f t="shared" si="8"/>
        <v>181.7925462</v>
      </c>
      <c r="F148" s="91">
        <f t="shared" si="9"/>
        <v>1.026388523</v>
      </c>
      <c r="G148" s="90">
        <v>1.0018825920928427</v>
      </c>
      <c r="H148" s="90">
        <f t="shared" si="1"/>
        <v>186.2391706</v>
      </c>
      <c r="I148" s="90">
        <f t="shared" si="2"/>
        <v>190.2584506</v>
      </c>
      <c r="J148" s="90">
        <f t="shared" si="3"/>
        <v>190.6166296</v>
      </c>
      <c r="K148" s="90">
        <f t="shared" si="4"/>
        <v>0.978874631</v>
      </c>
      <c r="L148" s="90">
        <f t="shared" si="10"/>
        <v>0.9501466585</v>
      </c>
      <c r="M148" s="90">
        <f t="shared" si="11"/>
        <v>1.030235303</v>
      </c>
      <c r="N148" s="90">
        <f t="shared" si="5"/>
        <v>-4.026846633</v>
      </c>
      <c r="O148" s="90">
        <f t="shared" si="6"/>
        <v>16.2154938</v>
      </c>
    </row>
    <row r="149" ht="14.25" customHeight="1">
      <c r="A149" s="90">
        <v>3.0</v>
      </c>
      <c r="B149" s="90">
        <v>148.0</v>
      </c>
      <c r="C149" s="90">
        <v>185.111115</v>
      </c>
      <c r="D149" s="90">
        <f t="shared" si="7"/>
        <v>182.6976106</v>
      </c>
      <c r="E149" s="90">
        <f t="shared" si="8"/>
        <v>183.2553346</v>
      </c>
      <c r="F149" s="91">
        <f t="shared" si="9"/>
        <v>1.010126747</v>
      </c>
      <c r="G149" s="90">
        <v>0.9988670216408811</v>
      </c>
      <c r="H149" s="90">
        <f t="shared" si="1"/>
        <v>185.3210798</v>
      </c>
      <c r="I149" s="90">
        <f t="shared" si="2"/>
        <v>190.217808</v>
      </c>
      <c r="J149" s="90">
        <f t="shared" si="3"/>
        <v>190.0022954</v>
      </c>
      <c r="K149" s="90">
        <f t="shared" si="4"/>
        <v>0.9742572565</v>
      </c>
      <c r="L149" s="90">
        <f t="shared" si="10"/>
        <v>0.959841583</v>
      </c>
      <c r="M149" s="90">
        <f t="shared" si="11"/>
        <v>1.015018805</v>
      </c>
      <c r="N149" s="90">
        <f t="shared" si="5"/>
        <v>-4.891180359</v>
      </c>
      <c r="O149" s="90">
        <f t="shared" si="6"/>
        <v>23.9236453</v>
      </c>
    </row>
    <row r="150" ht="14.25" customHeight="1">
      <c r="A150" s="90">
        <v>4.0</v>
      </c>
      <c r="B150" s="90">
        <v>149.0</v>
      </c>
      <c r="C150" s="90">
        <v>186.728714</v>
      </c>
      <c r="D150" s="90">
        <f t="shared" si="7"/>
        <v>183.8130586</v>
      </c>
      <c r="E150" s="90">
        <f t="shared" si="8"/>
        <v>184.4531526</v>
      </c>
      <c r="F150" s="91">
        <f t="shared" si="9"/>
        <v>1.012336799</v>
      </c>
      <c r="G150" s="90">
        <v>0.99924241874904</v>
      </c>
      <c r="H150" s="90">
        <f t="shared" si="1"/>
        <v>186.8702834</v>
      </c>
      <c r="I150" s="90">
        <f t="shared" si="2"/>
        <v>190.1771655</v>
      </c>
      <c r="J150" s="90">
        <f t="shared" si="3"/>
        <v>190.0330908</v>
      </c>
      <c r="K150" s="90">
        <f t="shared" si="4"/>
        <v>0.9826115715</v>
      </c>
      <c r="L150" s="90">
        <f t="shared" si="10"/>
        <v>0.9659139668</v>
      </c>
      <c r="M150" s="90">
        <f t="shared" si="11"/>
        <v>1.017286845</v>
      </c>
      <c r="N150" s="90">
        <f t="shared" si="5"/>
        <v>-3.304376805</v>
      </c>
      <c r="O150" s="90">
        <f t="shared" si="6"/>
        <v>10.91890607</v>
      </c>
    </row>
    <row r="151" ht="14.25" customHeight="1">
      <c r="A151" s="90">
        <v>5.0</v>
      </c>
      <c r="B151" s="90">
        <v>150.0</v>
      </c>
      <c r="C151" s="90">
        <v>193.605988</v>
      </c>
      <c r="D151" s="90">
        <f t="shared" si="7"/>
        <v>185.0932466</v>
      </c>
      <c r="E151" s="90">
        <f t="shared" si="8"/>
        <v>186.2206057</v>
      </c>
      <c r="F151" s="91">
        <f t="shared" si="9"/>
        <v>1.039659318</v>
      </c>
      <c r="G151" s="90">
        <v>0.9999484979028709</v>
      </c>
      <c r="H151" s="90">
        <f t="shared" si="1"/>
        <v>193.6159596</v>
      </c>
      <c r="I151" s="90">
        <f t="shared" si="2"/>
        <v>190.1365229</v>
      </c>
      <c r="J151" s="90">
        <f t="shared" si="3"/>
        <v>190.1267305</v>
      </c>
      <c r="K151" s="90">
        <f t="shared" si="4"/>
        <v>1.018299676</v>
      </c>
      <c r="L151" s="90">
        <f t="shared" si="10"/>
        <v>0.9728532031</v>
      </c>
      <c r="M151" s="90">
        <f t="shared" si="11"/>
        <v>1.046714625</v>
      </c>
      <c r="N151" s="90">
        <f t="shared" si="5"/>
        <v>3.479257529</v>
      </c>
      <c r="O151" s="90">
        <f t="shared" si="6"/>
        <v>12.10523295</v>
      </c>
    </row>
    <row r="152" ht="14.25" customHeight="1">
      <c r="A152" s="90">
        <v>1.0</v>
      </c>
      <c r="B152" s="90">
        <v>151.0</v>
      </c>
      <c r="C152" s="90">
        <v>189.596725</v>
      </c>
      <c r="D152" s="90">
        <f t="shared" si="7"/>
        <v>187.3479648</v>
      </c>
      <c r="E152" s="90">
        <f t="shared" si="8"/>
        <v>187.8372149</v>
      </c>
      <c r="F152" s="91">
        <f t="shared" si="9"/>
        <v>1.009367207</v>
      </c>
      <c r="G152" s="90">
        <v>1.0000594696143654</v>
      </c>
      <c r="H152" s="90">
        <f t="shared" si="1"/>
        <v>189.5854504</v>
      </c>
      <c r="I152" s="90">
        <f t="shared" si="2"/>
        <v>190.0958803</v>
      </c>
      <c r="J152" s="90">
        <f t="shared" si="3"/>
        <v>190.1071853</v>
      </c>
      <c r="K152" s="90">
        <f t="shared" si="4"/>
        <v>0.9973148818</v>
      </c>
      <c r="L152" s="90">
        <f t="shared" si="10"/>
        <v>0.9849170038</v>
      </c>
      <c r="M152" s="90">
        <f t="shared" si="11"/>
        <v>1.012587739</v>
      </c>
      <c r="N152" s="90">
        <f t="shared" si="5"/>
        <v>-0.5104602704</v>
      </c>
      <c r="O152" s="90">
        <f t="shared" si="6"/>
        <v>0.2605696876</v>
      </c>
    </row>
    <row r="153" ht="14.25" customHeight="1">
      <c r="A153" s="90">
        <v>2.0</v>
      </c>
      <c r="B153" s="90">
        <v>152.0</v>
      </c>
      <c r="C153" s="90">
        <v>187.304291</v>
      </c>
      <c r="D153" s="90">
        <f t="shared" si="7"/>
        <v>188.326465</v>
      </c>
      <c r="E153" s="90">
        <f t="shared" si="8"/>
        <v>188.3979158</v>
      </c>
      <c r="F153" s="91">
        <f t="shared" si="9"/>
        <v>0.9941951332</v>
      </c>
      <c r="G153" s="90">
        <v>1.0018825920928427</v>
      </c>
      <c r="H153" s="90">
        <f t="shared" si="1"/>
        <v>186.952336</v>
      </c>
      <c r="I153" s="90">
        <f t="shared" si="2"/>
        <v>190.0552378</v>
      </c>
      <c r="J153" s="90">
        <f t="shared" si="3"/>
        <v>190.4130343</v>
      </c>
      <c r="K153" s="90">
        <f t="shared" si="4"/>
        <v>0.9836736845</v>
      </c>
      <c r="L153" s="90">
        <f t="shared" si="10"/>
        <v>0.9902716033</v>
      </c>
      <c r="M153" s="90">
        <f t="shared" si="11"/>
        <v>0.9933372634</v>
      </c>
      <c r="N153" s="90">
        <f t="shared" si="5"/>
        <v>-3.10874327</v>
      </c>
      <c r="O153" s="90">
        <f t="shared" si="6"/>
        <v>9.664284721</v>
      </c>
    </row>
    <row r="154" ht="14.25" customHeight="1">
      <c r="A154" s="90">
        <v>3.0</v>
      </c>
      <c r="B154" s="90">
        <v>153.0</v>
      </c>
      <c r="C154" s="90">
        <v>185.369125</v>
      </c>
      <c r="D154" s="90">
        <f t="shared" si="7"/>
        <v>188.4693666</v>
      </c>
      <c r="E154" s="90">
        <f t="shared" si="8"/>
        <v>188.4951676</v>
      </c>
      <c r="F154" s="91">
        <f t="shared" si="9"/>
        <v>0.9834157945</v>
      </c>
      <c r="G154" s="90">
        <v>0.9988670216408811</v>
      </c>
      <c r="H154" s="90">
        <f t="shared" si="1"/>
        <v>185.5793824</v>
      </c>
      <c r="I154" s="90">
        <f t="shared" si="2"/>
        <v>190.0145952</v>
      </c>
      <c r="J154" s="90">
        <f t="shared" si="3"/>
        <v>189.7993128</v>
      </c>
      <c r="K154" s="90">
        <f t="shared" si="4"/>
        <v>0.9766585678</v>
      </c>
      <c r="L154" s="90">
        <f t="shared" si="10"/>
        <v>0.991231414</v>
      </c>
      <c r="M154" s="90">
        <f t="shared" si="11"/>
        <v>0.9852982401</v>
      </c>
      <c r="N154" s="90">
        <f t="shared" si="5"/>
        <v>-4.430187799</v>
      </c>
      <c r="O154" s="90">
        <f t="shared" si="6"/>
        <v>19.62656394</v>
      </c>
    </row>
    <row r="155" ht="14.25" customHeight="1">
      <c r="A155" s="90">
        <v>4.0</v>
      </c>
      <c r="B155" s="90">
        <v>154.0</v>
      </c>
      <c r="C155" s="90">
        <v>187.036346</v>
      </c>
      <c r="D155" s="90">
        <f t="shared" si="7"/>
        <v>188.5209686</v>
      </c>
      <c r="E155" s="90">
        <f t="shared" si="8"/>
        <v>188.5517318</v>
      </c>
      <c r="F155" s="91">
        <f t="shared" si="9"/>
        <v>0.9919630237</v>
      </c>
      <c r="G155" s="90">
        <v>0.99924241874904</v>
      </c>
      <c r="H155" s="90">
        <f t="shared" si="1"/>
        <v>187.1781487</v>
      </c>
      <c r="I155" s="90">
        <f t="shared" si="2"/>
        <v>189.9739527</v>
      </c>
      <c r="J155" s="90">
        <f t="shared" si="3"/>
        <v>189.830032</v>
      </c>
      <c r="K155" s="90">
        <f t="shared" si="4"/>
        <v>0.9852832245</v>
      </c>
      <c r="L155" s="90">
        <f t="shared" si="10"/>
        <v>0.9917116763</v>
      </c>
      <c r="M155" s="90">
        <f t="shared" si="11"/>
        <v>0.9935178219</v>
      </c>
      <c r="N155" s="90">
        <f t="shared" si="5"/>
        <v>-2.79368596</v>
      </c>
      <c r="O155" s="90">
        <f t="shared" si="6"/>
        <v>7.804681241</v>
      </c>
    </row>
    <row r="156" ht="14.25" customHeight="1">
      <c r="A156" s="90">
        <v>5.0</v>
      </c>
      <c r="B156" s="90">
        <v>155.0</v>
      </c>
      <c r="C156" s="90">
        <v>187.284439</v>
      </c>
      <c r="D156" s="90">
        <f t="shared" si="7"/>
        <v>188.582495</v>
      </c>
      <c r="E156" s="90">
        <f t="shared" si="8"/>
        <v>187.9503401</v>
      </c>
      <c r="F156" s="91">
        <f t="shared" si="9"/>
        <v>0.996457037</v>
      </c>
      <c r="G156" s="90">
        <v>0.9999484979028709</v>
      </c>
      <c r="H156" s="90">
        <f t="shared" si="1"/>
        <v>187.294085</v>
      </c>
      <c r="I156" s="90">
        <f t="shared" si="2"/>
        <v>189.9333101</v>
      </c>
      <c r="J156" s="90">
        <f t="shared" si="3"/>
        <v>189.9235281</v>
      </c>
      <c r="K156" s="90">
        <f t="shared" si="4"/>
        <v>0.9861044644</v>
      </c>
      <c r="L156" s="90">
        <f t="shared" si="10"/>
        <v>0.9922460069</v>
      </c>
      <c r="M156" s="90">
        <f t="shared" si="11"/>
        <v>0.9938104639</v>
      </c>
      <c r="N156" s="90">
        <f t="shared" si="5"/>
        <v>-2.639089141</v>
      </c>
      <c r="O156" s="90">
        <f t="shared" si="6"/>
        <v>6.964791496</v>
      </c>
    </row>
    <row r="157" ht="14.25" customHeight="1">
      <c r="A157" s="90">
        <v>1.0</v>
      </c>
      <c r="B157" s="90">
        <v>156.0</v>
      </c>
      <c r="C157" s="90">
        <v>188.505081</v>
      </c>
      <c r="D157" s="90">
        <f t="shared" si="7"/>
        <v>187.3181852</v>
      </c>
      <c r="E157" s="90">
        <f t="shared" si="8"/>
        <v>187.2090208</v>
      </c>
      <c r="F157" s="91">
        <f t="shared" si="9"/>
        <v>1.006923065</v>
      </c>
      <c r="G157" s="90">
        <v>1.0000594696143654</v>
      </c>
      <c r="H157" s="90">
        <f t="shared" si="1"/>
        <v>188.4938713</v>
      </c>
      <c r="I157" s="90">
        <f t="shared" si="2"/>
        <v>189.8926675</v>
      </c>
      <c r="J157" s="90">
        <f t="shared" si="3"/>
        <v>189.9039604</v>
      </c>
      <c r="K157" s="90">
        <f t="shared" si="4"/>
        <v>0.9926337535</v>
      </c>
      <c r="L157" s="90">
        <f t="shared" si="10"/>
        <v>0.9858069646</v>
      </c>
      <c r="M157" s="90">
        <f t="shared" si="11"/>
        <v>1.006925077</v>
      </c>
      <c r="N157" s="90">
        <f t="shared" si="5"/>
        <v>-1.39887939</v>
      </c>
      <c r="O157" s="90">
        <f t="shared" si="6"/>
        <v>1.956863547</v>
      </c>
    </row>
    <row r="158" ht="14.25" customHeight="1">
      <c r="A158" s="90">
        <v>2.0</v>
      </c>
      <c r="B158" s="90">
        <v>157.0</v>
      </c>
      <c r="C158" s="90">
        <v>189.785278</v>
      </c>
      <c r="D158" s="90">
        <f t="shared" si="7"/>
        <v>187.0998564</v>
      </c>
      <c r="E158" s="90">
        <f t="shared" si="8"/>
        <v>187.3479551</v>
      </c>
      <c r="F158" s="91">
        <f t="shared" si="9"/>
        <v>1.013009605</v>
      </c>
      <c r="G158" s="90">
        <v>1.0018825920928427</v>
      </c>
      <c r="H158" s="90">
        <f t="shared" si="1"/>
        <v>189.4286611</v>
      </c>
      <c r="I158" s="90">
        <f t="shared" si="2"/>
        <v>189.852025</v>
      </c>
      <c r="J158" s="90">
        <f t="shared" si="3"/>
        <v>190.2094389</v>
      </c>
      <c r="K158" s="90">
        <f t="shared" si="4"/>
        <v>0.9977700323</v>
      </c>
      <c r="L158" s="90">
        <f t="shared" si="10"/>
        <v>0.9848707389</v>
      </c>
      <c r="M158" s="90">
        <f t="shared" si="11"/>
        <v>1.013097448</v>
      </c>
      <c r="N158" s="90">
        <f t="shared" si="5"/>
        <v>-0.424160908</v>
      </c>
      <c r="O158" s="90">
        <f t="shared" si="6"/>
        <v>0.1799124759</v>
      </c>
    </row>
    <row r="159" ht="14.25" customHeight="1">
      <c r="A159" s="90">
        <v>3.0</v>
      </c>
      <c r="B159" s="90">
        <v>158.0</v>
      </c>
      <c r="C159" s="90">
        <v>192.544144</v>
      </c>
      <c r="D159" s="90">
        <f t="shared" si="7"/>
        <v>187.5960538</v>
      </c>
      <c r="E159" s="90">
        <f t="shared" si="8"/>
        <v>188.3135557</v>
      </c>
      <c r="F159" s="91">
        <f t="shared" si="9"/>
        <v>1.02246566</v>
      </c>
      <c r="G159" s="90">
        <v>0.9988670216408811</v>
      </c>
      <c r="H159" s="90">
        <f t="shared" si="1"/>
        <v>192.7625398</v>
      </c>
      <c r="I159" s="90">
        <f t="shared" si="2"/>
        <v>189.8113824</v>
      </c>
      <c r="J159" s="90">
        <f t="shared" si="3"/>
        <v>189.5963302</v>
      </c>
      <c r="K159" s="90">
        <f t="shared" si="4"/>
        <v>1.015547842</v>
      </c>
      <c r="L159" s="90">
        <f t="shared" si="10"/>
        <v>0.9876900085</v>
      </c>
      <c r="M159" s="90">
        <f t="shared" si="11"/>
        <v>1.028205037</v>
      </c>
      <c r="N159" s="90">
        <f t="shared" si="5"/>
        <v>2.947813761</v>
      </c>
      <c r="O159" s="90">
        <f t="shared" si="6"/>
        <v>8.689605968</v>
      </c>
    </row>
    <row r="160" ht="14.25" customHeight="1">
      <c r="A160" s="90">
        <v>4.0</v>
      </c>
      <c r="B160" s="90">
        <v>159.0</v>
      </c>
      <c r="C160" s="90">
        <v>193.864029</v>
      </c>
      <c r="D160" s="90">
        <f t="shared" si="7"/>
        <v>189.0310576</v>
      </c>
      <c r="E160" s="90">
        <f t="shared" si="8"/>
        <v>189.7138259</v>
      </c>
      <c r="F160" s="91">
        <f t="shared" si="9"/>
        <v>1.021876124</v>
      </c>
      <c r="G160" s="90">
        <v>0.99924241874904</v>
      </c>
      <c r="H160" s="90">
        <f t="shared" si="1"/>
        <v>194.0110081</v>
      </c>
      <c r="I160" s="90">
        <f t="shared" si="2"/>
        <v>189.7707399</v>
      </c>
      <c r="J160" s="90">
        <f t="shared" si="3"/>
        <v>189.6269731</v>
      </c>
      <c r="K160" s="90">
        <f t="shared" si="4"/>
        <v>1.022344162</v>
      </c>
      <c r="L160" s="90">
        <f t="shared" si="10"/>
        <v>0.9954678633</v>
      </c>
      <c r="M160" s="90">
        <f t="shared" si="11"/>
        <v>1.026998661</v>
      </c>
      <c r="N160" s="90">
        <f t="shared" si="5"/>
        <v>4.237055886</v>
      </c>
      <c r="O160" s="90">
        <f t="shared" si="6"/>
        <v>17.95264258</v>
      </c>
    </row>
    <row r="161" ht="14.25" customHeight="1">
      <c r="A161" s="90">
        <v>5.0</v>
      </c>
      <c r="B161" s="90">
        <v>160.0</v>
      </c>
      <c r="C161" s="90">
        <v>194.201431</v>
      </c>
      <c r="D161" s="90">
        <f t="shared" si="7"/>
        <v>190.3965942</v>
      </c>
      <c r="E161" s="90">
        <f t="shared" si="8"/>
        <v>191.0882934</v>
      </c>
      <c r="F161" s="91">
        <f t="shared" si="9"/>
        <v>1.016291619</v>
      </c>
      <c r="G161" s="90">
        <v>0.9999484979028709</v>
      </c>
      <c r="H161" s="90">
        <f t="shared" si="1"/>
        <v>194.2114333</v>
      </c>
      <c r="I161" s="90">
        <f t="shared" si="2"/>
        <v>189.7300973</v>
      </c>
      <c r="J161" s="90">
        <f t="shared" si="3"/>
        <v>189.7203258</v>
      </c>
      <c r="K161" s="90">
        <f t="shared" si="4"/>
        <v>1.023619531</v>
      </c>
      <c r="L161" s="90">
        <f t="shared" si="10"/>
        <v>1.002880051</v>
      </c>
      <c r="M161" s="90">
        <f t="shared" si="11"/>
        <v>1.020679921</v>
      </c>
      <c r="N161" s="90">
        <f t="shared" si="5"/>
        <v>4.481105188</v>
      </c>
      <c r="O161" s="90">
        <f t="shared" si="6"/>
        <v>20.08030371</v>
      </c>
    </row>
    <row r="162" ht="14.25" customHeight="1">
      <c r="A162" s="90">
        <v>1.0</v>
      </c>
      <c r="B162" s="90">
        <v>161.0</v>
      </c>
      <c r="C162" s="90">
        <v>195.501465</v>
      </c>
      <c r="D162" s="90">
        <f t="shared" si="7"/>
        <v>191.7799926</v>
      </c>
      <c r="E162" s="90">
        <f t="shared" si="8"/>
        <v>192.479631</v>
      </c>
      <c r="F162" s="91">
        <f t="shared" si="9"/>
        <v>1.0156995</v>
      </c>
      <c r="G162" s="90">
        <v>1.0000594696143654</v>
      </c>
      <c r="H162" s="90">
        <f t="shared" si="1"/>
        <v>195.4898393</v>
      </c>
      <c r="I162" s="90">
        <f t="shared" si="2"/>
        <v>189.6894548</v>
      </c>
      <c r="J162" s="90">
        <f t="shared" si="3"/>
        <v>189.7007355</v>
      </c>
      <c r="K162" s="90">
        <f t="shared" si="4"/>
        <v>1.030578318</v>
      </c>
      <c r="L162" s="90">
        <f t="shared" si="10"/>
        <v>1.010383064</v>
      </c>
      <c r="M162" s="90">
        <f t="shared" si="11"/>
        <v>1.01998772</v>
      </c>
      <c r="N162" s="90">
        <f t="shared" si="5"/>
        <v>5.800729491</v>
      </c>
      <c r="O162" s="90">
        <f t="shared" si="6"/>
        <v>33.64846263</v>
      </c>
    </row>
    <row r="163" ht="14.25" customHeight="1">
      <c r="A163" s="90">
        <v>2.0</v>
      </c>
      <c r="B163" s="90">
        <v>162.0</v>
      </c>
      <c r="C163" s="90">
        <v>198.577881</v>
      </c>
      <c r="D163" s="90">
        <f t="shared" si="7"/>
        <v>193.1792694</v>
      </c>
      <c r="E163" s="90">
        <f t="shared" si="8"/>
        <v>194.0585297</v>
      </c>
      <c r="F163" s="91">
        <f t="shared" si="9"/>
        <v>1.023288599</v>
      </c>
      <c r="G163" s="90">
        <v>1.0018825920928427</v>
      </c>
      <c r="H163" s="90">
        <f t="shared" si="1"/>
        <v>198.2047423</v>
      </c>
      <c r="I163" s="90">
        <f t="shared" si="2"/>
        <v>189.6488122</v>
      </c>
      <c r="J163" s="90">
        <f t="shared" si="3"/>
        <v>190.0058435</v>
      </c>
      <c r="K163" s="90">
        <f t="shared" si="4"/>
        <v>1.045114599</v>
      </c>
      <c r="L163" s="90">
        <f t="shared" si="10"/>
        <v>1.017971977</v>
      </c>
      <c r="M163" s="90">
        <f t="shared" si="11"/>
        <v>1.026663427</v>
      </c>
      <c r="N163" s="90">
        <f t="shared" si="5"/>
        <v>8.572037454</v>
      </c>
      <c r="O163" s="90">
        <f t="shared" si="6"/>
        <v>73.47982612</v>
      </c>
    </row>
    <row r="164" ht="14.25" customHeight="1">
      <c r="A164" s="90">
        <v>3.0</v>
      </c>
      <c r="B164" s="90">
        <v>163.0</v>
      </c>
      <c r="C164" s="90">
        <v>197.982452</v>
      </c>
      <c r="D164" s="90">
        <f t="shared" si="7"/>
        <v>194.93779</v>
      </c>
      <c r="E164" s="90">
        <f t="shared" si="8"/>
        <v>195.4816208</v>
      </c>
      <c r="F164" s="91">
        <f t="shared" si="9"/>
        <v>1.012793178</v>
      </c>
      <c r="G164" s="90">
        <v>0.9988670216408811</v>
      </c>
      <c r="H164" s="90">
        <f t="shared" si="1"/>
        <v>198.2070163</v>
      </c>
      <c r="I164" s="90">
        <f t="shared" si="2"/>
        <v>189.6081696</v>
      </c>
      <c r="J164" s="90">
        <f t="shared" si="3"/>
        <v>189.3933477</v>
      </c>
      <c r="K164" s="90">
        <f t="shared" si="4"/>
        <v>1.045350612</v>
      </c>
      <c r="L164" s="90">
        <f t="shared" si="10"/>
        <v>1.027440891</v>
      </c>
      <c r="M164" s="90">
        <f t="shared" si="11"/>
        <v>1.017431389</v>
      </c>
      <c r="N164" s="90">
        <f t="shared" si="5"/>
        <v>8.589104321</v>
      </c>
      <c r="O164" s="90">
        <f t="shared" si="6"/>
        <v>73.77271303</v>
      </c>
    </row>
    <row r="165" ht="14.25" customHeight="1">
      <c r="A165" s="90">
        <v>4.0</v>
      </c>
      <c r="B165" s="90">
        <v>164.0</v>
      </c>
      <c r="C165" s="90">
        <v>199.093918</v>
      </c>
      <c r="D165" s="90">
        <f t="shared" si="7"/>
        <v>196.0254516</v>
      </c>
      <c r="E165" s="90">
        <f t="shared" si="8"/>
        <v>196.5484405</v>
      </c>
      <c r="F165" s="91">
        <f t="shared" si="9"/>
        <v>1.012950891</v>
      </c>
      <c r="G165" s="90">
        <v>0.99924241874904</v>
      </c>
      <c r="H165" s="90">
        <f t="shared" si="1"/>
        <v>199.2448622</v>
      </c>
      <c r="I165" s="90">
        <f t="shared" si="2"/>
        <v>189.5675271</v>
      </c>
      <c r="J165" s="90">
        <f t="shared" si="3"/>
        <v>189.4239143</v>
      </c>
      <c r="K165" s="90">
        <f t="shared" si="4"/>
        <v>1.05104954</v>
      </c>
      <c r="L165" s="90">
        <f t="shared" si="10"/>
        <v>1.033401445</v>
      </c>
      <c r="M165" s="90">
        <f t="shared" si="11"/>
        <v>1.017077676</v>
      </c>
      <c r="N165" s="90">
        <f t="shared" si="5"/>
        <v>9.670003731</v>
      </c>
      <c r="O165" s="90">
        <f t="shared" si="6"/>
        <v>93.50897216</v>
      </c>
    </row>
    <row r="166" ht="14.25" customHeight="1">
      <c r="A166" s="90">
        <v>5.0</v>
      </c>
      <c r="B166" s="90">
        <v>165.0</v>
      </c>
      <c r="C166" s="90">
        <v>197.43663</v>
      </c>
      <c r="D166" s="90">
        <f t="shared" si="7"/>
        <v>197.0714294</v>
      </c>
      <c r="E166" s="90">
        <f t="shared" si="8"/>
        <v>197.3949493</v>
      </c>
      <c r="F166" s="91">
        <f t="shared" si="9"/>
        <v>1.000211154</v>
      </c>
      <c r="G166" s="90">
        <v>0.9999484979028709</v>
      </c>
      <c r="H166" s="90">
        <f t="shared" si="1"/>
        <v>197.4467989</v>
      </c>
      <c r="I166" s="90">
        <f t="shared" si="2"/>
        <v>189.5268845</v>
      </c>
      <c r="J166" s="90">
        <f t="shared" si="3"/>
        <v>189.5171235</v>
      </c>
      <c r="K166" s="90">
        <f t="shared" si="4"/>
        <v>1.041787815</v>
      </c>
      <c r="L166" s="90">
        <f t="shared" si="10"/>
        <v>1.03914252</v>
      </c>
      <c r="M166" s="90">
        <f t="shared" si="11"/>
        <v>1.002545652</v>
      </c>
      <c r="N166" s="90">
        <f t="shared" si="5"/>
        <v>7.919506518</v>
      </c>
      <c r="O166" s="90">
        <f t="shared" si="6"/>
        <v>62.71858349</v>
      </c>
    </row>
    <row r="167" ht="14.25" customHeight="1">
      <c r="A167" s="90">
        <v>1.0</v>
      </c>
      <c r="B167" s="90">
        <v>166.0</v>
      </c>
      <c r="C167" s="90">
        <v>197.357239</v>
      </c>
      <c r="D167" s="90">
        <f t="shared" si="7"/>
        <v>197.7184692</v>
      </c>
      <c r="E167" s="90">
        <f t="shared" si="8"/>
        <v>197.9040466</v>
      </c>
      <c r="F167" s="91">
        <f t="shared" si="9"/>
        <v>0.9972370065</v>
      </c>
      <c r="G167" s="90">
        <v>1.0000594696143654</v>
      </c>
      <c r="H167" s="90">
        <f t="shared" si="1"/>
        <v>197.3455029</v>
      </c>
      <c r="I167" s="90">
        <f t="shared" si="2"/>
        <v>189.486242</v>
      </c>
      <c r="J167" s="90">
        <f t="shared" si="3"/>
        <v>189.4975106</v>
      </c>
      <c r="K167" s="90">
        <f t="shared" si="4"/>
        <v>1.041476684</v>
      </c>
      <c r="L167" s="90">
        <f t="shared" si="10"/>
        <v>1.042776177</v>
      </c>
      <c r="M167" s="90">
        <f t="shared" si="11"/>
        <v>0.998753814</v>
      </c>
      <c r="N167" s="90">
        <f t="shared" si="5"/>
        <v>7.859728371</v>
      </c>
      <c r="O167" s="90">
        <f t="shared" si="6"/>
        <v>61.77533007</v>
      </c>
    </row>
    <row r="168" ht="14.25" customHeight="1">
      <c r="A168" s="90">
        <v>2.0</v>
      </c>
      <c r="B168" s="90">
        <v>167.0</v>
      </c>
      <c r="C168" s="90">
        <v>197.714493</v>
      </c>
      <c r="D168" s="90">
        <f t="shared" si="7"/>
        <v>198.089624</v>
      </c>
      <c r="E168" s="90">
        <f t="shared" si="8"/>
        <v>198.0032852</v>
      </c>
      <c r="F168" s="91">
        <f t="shared" si="9"/>
        <v>0.9985414777</v>
      </c>
      <c r="G168" s="90">
        <v>1.0018825920928427</v>
      </c>
      <c r="H168" s="90">
        <f t="shared" si="1"/>
        <v>197.3429767</v>
      </c>
      <c r="I168" s="90">
        <f t="shared" si="2"/>
        <v>189.4455994</v>
      </c>
      <c r="J168" s="90">
        <f t="shared" si="3"/>
        <v>189.8022482</v>
      </c>
      <c r="K168" s="90">
        <f t="shared" si="4"/>
        <v>1.041686781</v>
      </c>
      <c r="L168" s="90">
        <f t="shared" si="10"/>
        <v>1.04495585</v>
      </c>
      <c r="M168" s="90">
        <f t="shared" si="11"/>
        <v>0.9968715723</v>
      </c>
      <c r="N168" s="90">
        <f t="shared" si="5"/>
        <v>7.912244817</v>
      </c>
      <c r="O168" s="90">
        <f t="shared" si="6"/>
        <v>62.60361804</v>
      </c>
    </row>
    <row r="169" ht="14.25" customHeight="1">
      <c r="A169" s="90">
        <v>3.0</v>
      </c>
      <c r="B169" s="90">
        <v>168.0</v>
      </c>
      <c r="C169" s="90">
        <v>197.734344</v>
      </c>
      <c r="D169" s="90">
        <f t="shared" si="7"/>
        <v>197.9169464</v>
      </c>
      <c r="E169" s="90">
        <f t="shared" si="8"/>
        <v>197.8921356</v>
      </c>
      <c r="F169" s="91">
        <f t="shared" si="9"/>
        <v>0.9992026383</v>
      </c>
      <c r="G169" s="90">
        <v>0.9988670216408811</v>
      </c>
      <c r="H169" s="90">
        <f t="shared" si="1"/>
        <v>197.9586268</v>
      </c>
      <c r="I169" s="90">
        <f t="shared" si="2"/>
        <v>189.4049568</v>
      </c>
      <c r="J169" s="90">
        <f t="shared" si="3"/>
        <v>189.1903651</v>
      </c>
      <c r="K169" s="90">
        <f t="shared" si="4"/>
        <v>1.045160751</v>
      </c>
      <c r="L169" s="90">
        <f t="shared" si="10"/>
        <v>1.044270287</v>
      </c>
      <c r="M169" s="90">
        <f t="shared" si="11"/>
        <v>1.000852714</v>
      </c>
      <c r="N169" s="90">
        <f t="shared" si="5"/>
        <v>8.543978881</v>
      </c>
      <c r="O169" s="90">
        <f t="shared" si="6"/>
        <v>72.99957511</v>
      </c>
    </row>
    <row r="170" ht="14.25" customHeight="1">
      <c r="A170" s="90">
        <v>4.0</v>
      </c>
      <c r="B170" s="90">
        <v>169.0</v>
      </c>
      <c r="C170" s="90">
        <v>201.584839</v>
      </c>
      <c r="D170" s="90">
        <f t="shared" si="7"/>
        <v>197.8673248</v>
      </c>
      <c r="E170" s="90">
        <f t="shared" si="8"/>
        <v>198.1164169</v>
      </c>
      <c r="F170" s="91">
        <f t="shared" si="9"/>
        <v>1.01750699</v>
      </c>
      <c r="G170" s="90">
        <v>0.99924241874904</v>
      </c>
      <c r="H170" s="90">
        <f t="shared" si="1"/>
        <v>201.7376717</v>
      </c>
      <c r="I170" s="90">
        <f t="shared" si="2"/>
        <v>189.3643143</v>
      </c>
      <c r="J170" s="90">
        <f t="shared" si="3"/>
        <v>189.2208554</v>
      </c>
      <c r="K170" s="90">
        <f t="shared" si="4"/>
        <v>1.065341548</v>
      </c>
      <c r="L170" s="90">
        <f t="shared" si="10"/>
        <v>1.044232314</v>
      </c>
      <c r="M170" s="90">
        <f t="shared" si="11"/>
        <v>1.020215074</v>
      </c>
      <c r="N170" s="90">
        <f t="shared" si="5"/>
        <v>12.36398358</v>
      </c>
      <c r="O170" s="90">
        <f t="shared" si="6"/>
        <v>152.8680899</v>
      </c>
    </row>
    <row r="171" ht="14.25" customHeight="1">
      <c r="A171" s="90">
        <v>5.0</v>
      </c>
      <c r="B171" s="90">
        <v>170.0</v>
      </c>
      <c r="C171" s="90">
        <v>202.309296</v>
      </c>
      <c r="D171" s="90">
        <f t="shared" si="7"/>
        <v>198.365509</v>
      </c>
      <c r="E171" s="90">
        <f t="shared" si="8"/>
        <v>198.8527756</v>
      </c>
      <c r="F171" s="91">
        <f t="shared" si="9"/>
        <v>1.017382309</v>
      </c>
      <c r="G171" s="90">
        <v>0.9999484979028709</v>
      </c>
      <c r="H171" s="90">
        <f t="shared" si="1"/>
        <v>202.3197159</v>
      </c>
      <c r="I171" s="90">
        <f t="shared" si="2"/>
        <v>189.3236717</v>
      </c>
      <c r="J171" s="90">
        <f t="shared" si="3"/>
        <v>189.3139212</v>
      </c>
      <c r="K171" s="90">
        <f t="shared" si="4"/>
        <v>1.068644581</v>
      </c>
      <c r="L171" s="90">
        <f t="shared" si="10"/>
        <v>1.047090716</v>
      </c>
      <c r="M171" s="90">
        <f t="shared" si="11"/>
        <v>1.020584525</v>
      </c>
      <c r="N171" s="90">
        <f t="shared" si="5"/>
        <v>12.99537485</v>
      </c>
      <c r="O171" s="90">
        <f t="shared" si="6"/>
        <v>168.8797674</v>
      </c>
    </row>
    <row r="172" ht="14.25" customHeight="1">
      <c r="A172" s="90">
        <v>1.0</v>
      </c>
      <c r="B172" s="90">
        <v>171.0</v>
      </c>
      <c r="C172" s="90">
        <v>202.974197</v>
      </c>
      <c r="D172" s="90">
        <f t="shared" si="7"/>
        <v>199.3400422</v>
      </c>
      <c r="E172" s="90">
        <f t="shared" si="8"/>
        <v>199.901738</v>
      </c>
      <c r="F172" s="91">
        <f t="shared" si="9"/>
        <v>1.015369846</v>
      </c>
      <c r="G172" s="90">
        <v>1.0000594696143654</v>
      </c>
      <c r="H172" s="90">
        <f t="shared" si="1"/>
        <v>202.9621269</v>
      </c>
      <c r="I172" s="90">
        <f t="shared" si="2"/>
        <v>189.2830292</v>
      </c>
      <c r="J172" s="90">
        <f t="shared" si="3"/>
        <v>189.2942857</v>
      </c>
      <c r="K172" s="90">
        <f t="shared" si="4"/>
        <v>1.072267957</v>
      </c>
      <c r="L172" s="90">
        <f t="shared" si="10"/>
        <v>1.052462069</v>
      </c>
      <c r="M172" s="90">
        <f t="shared" si="11"/>
        <v>1.018818624</v>
      </c>
      <c r="N172" s="90">
        <f t="shared" si="5"/>
        <v>13.67991125</v>
      </c>
      <c r="O172" s="90">
        <f t="shared" si="6"/>
        <v>187.1399719</v>
      </c>
    </row>
    <row r="173" ht="14.25" customHeight="1">
      <c r="A173" s="90">
        <v>2.0</v>
      </c>
      <c r="B173" s="90">
        <v>172.0</v>
      </c>
      <c r="C173" s="90">
        <v>205.901749</v>
      </c>
      <c r="D173" s="90">
        <f t="shared" si="7"/>
        <v>200.4634338</v>
      </c>
      <c r="E173" s="90">
        <f t="shared" si="8"/>
        <v>201.2821594</v>
      </c>
      <c r="F173" s="91">
        <f t="shared" si="9"/>
        <v>1.022950815</v>
      </c>
      <c r="G173" s="90">
        <v>1.0018825920928427</v>
      </c>
      <c r="H173" s="90">
        <f t="shared" si="1"/>
        <v>205.5148484</v>
      </c>
      <c r="I173" s="90">
        <f t="shared" si="2"/>
        <v>189.2423866</v>
      </c>
      <c r="J173" s="90">
        <f t="shared" si="3"/>
        <v>189.5986528</v>
      </c>
      <c r="K173" s="90">
        <f t="shared" si="4"/>
        <v>1.085987405</v>
      </c>
      <c r="L173" s="90">
        <f t="shared" si="10"/>
        <v>1.058620324</v>
      </c>
      <c r="M173" s="90">
        <f t="shared" si="11"/>
        <v>1.02585165</v>
      </c>
      <c r="N173" s="90">
        <f t="shared" si="5"/>
        <v>16.30309618</v>
      </c>
      <c r="O173" s="90">
        <f t="shared" si="6"/>
        <v>265.790945</v>
      </c>
    </row>
    <row r="174" ht="14.25" customHeight="1">
      <c r="A174" s="90">
        <v>3.0</v>
      </c>
      <c r="B174" s="90">
        <v>173.0</v>
      </c>
      <c r="C174" s="90">
        <v>205.584183</v>
      </c>
      <c r="D174" s="90">
        <f t="shared" si="7"/>
        <v>202.100885</v>
      </c>
      <c r="E174" s="90">
        <f t="shared" si="8"/>
        <v>202.8858689</v>
      </c>
      <c r="F174" s="91">
        <f t="shared" si="9"/>
        <v>1.013299665</v>
      </c>
      <c r="G174" s="90">
        <v>0.9988670216408811</v>
      </c>
      <c r="H174" s="90">
        <f t="shared" si="1"/>
        <v>205.8173696</v>
      </c>
      <c r="I174" s="90">
        <f t="shared" si="2"/>
        <v>189.201744</v>
      </c>
      <c r="J174" s="90">
        <f t="shared" si="3"/>
        <v>188.9873826</v>
      </c>
      <c r="K174" s="90">
        <f t="shared" si="4"/>
        <v>1.087819622</v>
      </c>
      <c r="L174" s="90">
        <f t="shared" si="10"/>
        <v>1.067480448</v>
      </c>
      <c r="M174" s="90">
        <f t="shared" si="11"/>
        <v>1.019053439</v>
      </c>
      <c r="N174" s="90">
        <f t="shared" si="5"/>
        <v>16.59680044</v>
      </c>
      <c r="O174" s="90">
        <f t="shared" si="6"/>
        <v>275.4537849</v>
      </c>
    </row>
    <row r="175" ht="14.25" customHeight="1">
      <c r="A175" s="90">
        <v>4.0</v>
      </c>
      <c r="B175" s="90">
        <v>174.0</v>
      </c>
      <c r="C175" s="90">
        <v>203.718491</v>
      </c>
      <c r="D175" s="90">
        <f t="shared" si="7"/>
        <v>203.6708528</v>
      </c>
      <c r="E175" s="90">
        <f t="shared" si="8"/>
        <v>203.884218</v>
      </c>
      <c r="F175" s="91">
        <f t="shared" si="9"/>
        <v>0.9991871514</v>
      </c>
      <c r="G175" s="90">
        <v>0.99924241874904</v>
      </c>
      <c r="H175" s="90">
        <f t="shared" si="1"/>
        <v>203.8729413</v>
      </c>
      <c r="I175" s="90">
        <f t="shared" si="2"/>
        <v>189.1611015</v>
      </c>
      <c r="J175" s="90">
        <f t="shared" si="3"/>
        <v>189.0177966</v>
      </c>
      <c r="K175" s="90">
        <f t="shared" si="4"/>
        <v>1.077774129</v>
      </c>
      <c r="L175" s="90">
        <f t="shared" si="10"/>
        <v>1.076012223</v>
      </c>
      <c r="M175" s="90">
        <f t="shared" si="11"/>
        <v>1.001637441</v>
      </c>
      <c r="N175" s="90">
        <f t="shared" si="5"/>
        <v>14.70069442</v>
      </c>
      <c r="O175" s="90">
        <f t="shared" si="6"/>
        <v>216.1104165</v>
      </c>
    </row>
    <row r="176" ht="14.25" customHeight="1">
      <c r="A176" s="90">
        <v>5.0</v>
      </c>
      <c r="B176" s="90">
        <v>175.0</v>
      </c>
      <c r="C176" s="90">
        <v>202.745941</v>
      </c>
      <c r="D176" s="90">
        <f t="shared" si="7"/>
        <v>204.0975832</v>
      </c>
      <c r="E176" s="90">
        <f t="shared" si="8"/>
        <v>204.1412477</v>
      </c>
      <c r="F176" s="91">
        <f t="shared" si="9"/>
        <v>0.9931649938</v>
      </c>
      <c r="G176" s="90">
        <v>0.9999484979028709</v>
      </c>
      <c r="H176" s="90">
        <f t="shared" si="1"/>
        <v>202.7563834</v>
      </c>
      <c r="I176" s="90">
        <f t="shared" si="2"/>
        <v>189.1204589</v>
      </c>
      <c r="J176" s="90">
        <f t="shared" si="3"/>
        <v>189.1107188</v>
      </c>
      <c r="K176" s="90">
        <f t="shared" si="4"/>
        <v>1.072101794</v>
      </c>
      <c r="L176" s="90">
        <f t="shared" si="10"/>
        <v>1.078498739</v>
      </c>
      <c r="M176" s="90">
        <f t="shared" si="11"/>
        <v>0.9940686586</v>
      </c>
      <c r="N176" s="90">
        <f t="shared" si="5"/>
        <v>13.63522218</v>
      </c>
      <c r="O176" s="90">
        <f t="shared" si="6"/>
        <v>185.9192838</v>
      </c>
    </row>
    <row r="177" ht="14.25" customHeight="1">
      <c r="A177" s="90">
        <v>1.0</v>
      </c>
      <c r="B177" s="90">
        <v>176.0</v>
      </c>
      <c r="C177" s="90">
        <v>203.053589</v>
      </c>
      <c r="D177" s="90">
        <f t="shared" si="7"/>
        <v>204.1849122</v>
      </c>
      <c r="E177" s="90">
        <f t="shared" si="8"/>
        <v>204.1928514</v>
      </c>
      <c r="F177" s="91">
        <f t="shared" si="9"/>
        <v>0.9944206548</v>
      </c>
      <c r="G177" s="90">
        <v>1.0000594696143654</v>
      </c>
      <c r="H177" s="90">
        <f t="shared" si="1"/>
        <v>203.0415142</v>
      </c>
      <c r="I177" s="90">
        <f t="shared" si="2"/>
        <v>189.0798164</v>
      </c>
      <c r="J177" s="90">
        <f t="shared" si="3"/>
        <v>189.0910609</v>
      </c>
      <c r="K177" s="90">
        <f t="shared" si="4"/>
        <v>1.073840234</v>
      </c>
      <c r="L177" s="90">
        <f t="shared" si="10"/>
        <v>1.079190181</v>
      </c>
      <c r="M177" s="90">
        <f t="shared" si="11"/>
        <v>0.9950426276</v>
      </c>
      <c r="N177" s="90">
        <f t="shared" si="5"/>
        <v>13.96252813</v>
      </c>
      <c r="O177" s="90">
        <f t="shared" si="6"/>
        <v>194.9521919</v>
      </c>
    </row>
    <row r="178" ht="14.25" customHeight="1">
      <c r="A178" s="90">
        <v>2.0</v>
      </c>
      <c r="B178" s="90">
        <v>177.0</v>
      </c>
      <c r="C178" s="90">
        <v>199.143539</v>
      </c>
      <c r="D178" s="90">
        <f t="shared" si="7"/>
        <v>204.2007906</v>
      </c>
      <c r="E178" s="90">
        <f t="shared" si="8"/>
        <v>203.5249696</v>
      </c>
      <c r="F178" s="91">
        <f t="shared" si="9"/>
        <v>0.97847227</v>
      </c>
      <c r="G178" s="90">
        <v>1.0018825920928427</v>
      </c>
      <c r="H178" s="90">
        <f t="shared" si="1"/>
        <v>198.7693374</v>
      </c>
      <c r="I178" s="90">
        <f t="shared" si="2"/>
        <v>189.0391738</v>
      </c>
      <c r="J178" s="90">
        <f t="shared" si="3"/>
        <v>189.3950575</v>
      </c>
      <c r="K178" s="90">
        <f t="shared" si="4"/>
        <v>1.051471679</v>
      </c>
      <c r="L178" s="90">
        <f t="shared" si="10"/>
        <v>1.079504637</v>
      </c>
      <c r="M178" s="90">
        <f t="shared" si="11"/>
        <v>0.9740316465</v>
      </c>
      <c r="N178" s="90">
        <f t="shared" si="5"/>
        <v>9.748481542</v>
      </c>
      <c r="O178" s="90">
        <f t="shared" si="6"/>
        <v>95.03289237</v>
      </c>
    </row>
    <row r="179" ht="14.25" customHeight="1">
      <c r="A179" s="90">
        <v>3.0</v>
      </c>
      <c r="B179" s="90">
        <v>178.0</v>
      </c>
      <c r="C179" s="90">
        <v>208.918625</v>
      </c>
      <c r="D179" s="90">
        <f t="shared" si="7"/>
        <v>202.8491486</v>
      </c>
      <c r="E179" s="90">
        <f t="shared" si="8"/>
        <v>203.1825928</v>
      </c>
      <c r="F179" s="91">
        <f t="shared" si="9"/>
        <v>1.028230923</v>
      </c>
      <c r="G179" s="90">
        <v>0.9988670216408811</v>
      </c>
      <c r="H179" s="90">
        <f t="shared" si="1"/>
        <v>209.1555938</v>
      </c>
      <c r="I179" s="90">
        <f t="shared" si="2"/>
        <v>188.9985312</v>
      </c>
      <c r="J179" s="90">
        <f t="shared" si="3"/>
        <v>188.7844</v>
      </c>
      <c r="K179" s="90">
        <f t="shared" si="4"/>
        <v>1.106651953</v>
      </c>
      <c r="L179" s="90">
        <f t="shared" si="10"/>
        <v>1.072601491</v>
      </c>
      <c r="M179" s="90">
        <f t="shared" si="11"/>
        <v>1.031745678</v>
      </c>
      <c r="N179" s="90">
        <f t="shared" si="5"/>
        <v>20.134225</v>
      </c>
      <c r="O179" s="90">
        <f t="shared" si="6"/>
        <v>405.3870164</v>
      </c>
    </row>
    <row r="180" ht="14.25" customHeight="1">
      <c r="A180" s="90">
        <v>4.0</v>
      </c>
      <c r="B180" s="90">
        <v>179.0</v>
      </c>
      <c r="C180" s="90">
        <v>207.559052</v>
      </c>
      <c r="D180" s="90">
        <f t="shared" si="7"/>
        <v>203.516037</v>
      </c>
      <c r="E180" s="90">
        <f t="shared" si="8"/>
        <v>203.9000931</v>
      </c>
      <c r="F180" s="91">
        <f t="shared" si="9"/>
        <v>1.017944861</v>
      </c>
      <c r="G180" s="90">
        <v>0.99924241874904</v>
      </c>
      <c r="H180" s="90">
        <f t="shared" si="1"/>
        <v>207.7164141</v>
      </c>
      <c r="I180" s="90">
        <f t="shared" si="2"/>
        <v>188.9578887</v>
      </c>
      <c r="J180" s="90">
        <f t="shared" si="3"/>
        <v>188.8147377</v>
      </c>
      <c r="K180" s="90">
        <f t="shared" si="4"/>
        <v>1.099273576</v>
      </c>
      <c r="L180" s="90">
        <f t="shared" si="10"/>
        <v>1.076367958</v>
      </c>
      <c r="M180" s="90">
        <f t="shared" si="11"/>
        <v>1.021280472</v>
      </c>
      <c r="N180" s="90">
        <f t="shared" si="5"/>
        <v>18.74431427</v>
      </c>
      <c r="O180" s="90">
        <f t="shared" si="6"/>
        <v>351.3493174</v>
      </c>
    </row>
    <row r="181" ht="14.25" customHeight="1">
      <c r="A181" s="90">
        <v>5.0</v>
      </c>
      <c r="B181" s="90">
        <v>180.0</v>
      </c>
      <c r="C181" s="90">
        <v>210.139267</v>
      </c>
      <c r="D181" s="90">
        <f t="shared" si="7"/>
        <v>204.2841492</v>
      </c>
      <c r="E181" s="90">
        <f t="shared" si="8"/>
        <v>205.0234818</v>
      </c>
      <c r="F181" s="91">
        <f t="shared" si="9"/>
        <v>1.024952192</v>
      </c>
      <c r="G181" s="90">
        <v>0.9999484979028709</v>
      </c>
      <c r="H181" s="90">
        <f t="shared" si="1"/>
        <v>210.1500902</v>
      </c>
      <c r="I181" s="90">
        <f t="shared" si="2"/>
        <v>188.9172461</v>
      </c>
      <c r="J181" s="90">
        <f t="shared" si="3"/>
        <v>188.9075165</v>
      </c>
      <c r="K181" s="90">
        <f t="shared" si="4"/>
        <v>1.112392301</v>
      </c>
      <c r="L181" s="90">
        <f t="shared" si="10"/>
        <v>1.080667847</v>
      </c>
      <c r="M181" s="90">
        <f t="shared" si="11"/>
        <v>1.029356341</v>
      </c>
      <c r="N181" s="90">
        <f t="shared" si="5"/>
        <v>21.23175051</v>
      </c>
      <c r="O181" s="90">
        <f t="shared" si="6"/>
        <v>450.7872296</v>
      </c>
    </row>
    <row r="182" ht="14.25" customHeight="1">
      <c r="A182" s="90">
        <v>1.0</v>
      </c>
      <c r="B182" s="90">
        <v>181.0</v>
      </c>
      <c r="C182" s="90">
        <v>206.894135</v>
      </c>
      <c r="D182" s="90">
        <f t="shared" si="7"/>
        <v>205.7628144</v>
      </c>
      <c r="E182" s="90">
        <f t="shared" si="8"/>
        <v>206.146869</v>
      </c>
      <c r="F182" s="91">
        <f t="shared" si="9"/>
        <v>1.00362492</v>
      </c>
      <c r="G182" s="90">
        <v>1.0000594696143654</v>
      </c>
      <c r="H182" s="90">
        <f t="shared" si="1"/>
        <v>206.8818318</v>
      </c>
      <c r="I182" s="90">
        <f t="shared" si="2"/>
        <v>188.8766036</v>
      </c>
      <c r="J182" s="90">
        <f t="shared" si="3"/>
        <v>188.887836</v>
      </c>
      <c r="K182" s="90">
        <f t="shared" si="4"/>
        <v>1.095327997</v>
      </c>
      <c r="L182" s="90">
        <f t="shared" si="10"/>
        <v>1.088725949</v>
      </c>
      <c r="M182" s="90">
        <f t="shared" si="11"/>
        <v>1.006064013</v>
      </c>
      <c r="N182" s="90">
        <f t="shared" si="5"/>
        <v>18.00629901</v>
      </c>
      <c r="O182" s="90">
        <f t="shared" si="6"/>
        <v>324.2268041</v>
      </c>
    </row>
    <row r="183" ht="14.25" customHeight="1">
      <c r="A183" s="90">
        <v>2.0</v>
      </c>
      <c r="B183" s="90">
        <v>182.0</v>
      </c>
      <c r="C183" s="90">
        <v>201.316895</v>
      </c>
      <c r="D183" s="90">
        <f t="shared" si="7"/>
        <v>206.5309236</v>
      </c>
      <c r="E183" s="90">
        <f t="shared" si="8"/>
        <v>206.7482592</v>
      </c>
      <c r="F183" s="91">
        <f t="shared" si="9"/>
        <v>0.9737295771</v>
      </c>
      <c r="G183" s="90">
        <v>1.0018825920928427</v>
      </c>
      <c r="H183" s="90">
        <f t="shared" si="1"/>
        <v>200.9386096</v>
      </c>
      <c r="I183" s="90">
        <f t="shared" si="2"/>
        <v>188.835961</v>
      </c>
      <c r="J183" s="90">
        <f t="shared" si="3"/>
        <v>189.1914621</v>
      </c>
      <c r="K183" s="90">
        <f t="shared" si="4"/>
        <v>1.064090804</v>
      </c>
      <c r="L183" s="90">
        <f t="shared" si="10"/>
        <v>1.093023501</v>
      </c>
      <c r="M183" s="90">
        <f t="shared" si="11"/>
        <v>0.9735296659</v>
      </c>
      <c r="N183" s="90">
        <f t="shared" si="5"/>
        <v>12.1254329</v>
      </c>
      <c r="O183" s="90">
        <f t="shared" si="6"/>
        <v>147.0261231</v>
      </c>
    </row>
    <row r="184" ht="14.25" customHeight="1">
      <c r="A184" s="90">
        <v>3.0</v>
      </c>
      <c r="B184" s="90">
        <v>183.0</v>
      </c>
      <c r="C184" s="90">
        <v>201.356583</v>
      </c>
      <c r="D184" s="90">
        <f t="shared" si="7"/>
        <v>206.9655948</v>
      </c>
      <c r="E184" s="90">
        <f t="shared" si="8"/>
        <v>206.2093906</v>
      </c>
      <c r="F184" s="91">
        <f t="shared" si="9"/>
        <v>0.9764666023</v>
      </c>
      <c r="G184" s="90">
        <v>0.9988670216408811</v>
      </c>
      <c r="H184" s="90">
        <f t="shared" si="1"/>
        <v>201.5849744</v>
      </c>
      <c r="I184" s="90">
        <f t="shared" si="2"/>
        <v>188.7953184</v>
      </c>
      <c r="J184" s="90">
        <f t="shared" si="3"/>
        <v>188.5814174</v>
      </c>
      <c r="K184" s="90">
        <f t="shared" si="4"/>
        <v>1.067743502</v>
      </c>
      <c r="L184" s="90">
        <f t="shared" si="10"/>
        <v>1.095547326</v>
      </c>
      <c r="M184" s="90">
        <f t="shared" si="11"/>
        <v>0.9746210647</v>
      </c>
      <c r="N184" s="90">
        <f t="shared" si="5"/>
        <v>12.77516556</v>
      </c>
      <c r="O184" s="90">
        <f t="shared" si="6"/>
        <v>163.2048551</v>
      </c>
    </row>
    <row r="185" ht="14.25" customHeight="1">
      <c r="A185" s="90">
        <v>4.0</v>
      </c>
      <c r="B185" s="90">
        <v>184.0</v>
      </c>
      <c r="C185" s="90">
        <v>199.193176</v>
      </c>
      <c r="D185" s="90">
        <f t="shared" si="7"/>
        <v>205.4531864</v>
      </c>
      <c r="E185" s="90">
        <f t="shared" si="8"/>
        <v>204.6165988</v>
      </c>
      <c r="F185" s="91">
        <f t="shared" si="9"/>
        <v>0.9734947075</v>
      </c>
      <c r="G185" s="90">
        <v>0.99924241874904</v>
      </c>
      <c r="H185" s="90">
        <f t="shared" si="1"/>
        <v>199.3441954</v>
      </c>
      <c r="I185" s="90">
        <f t="shared" si="2"/>
        <v>188.7546759</v>
      </c>
      <c r="J185" s="90">
        <f t="shared" si="3"/>
        <v>188.6116789</v>
      </c>
      <c r="K185" s="90">
        <f t="shared" si="4"/>
        <v>1.056102025</v>
      </c>
      <c r="L185" s="90">
        <f t="shared" si="10"/>
        <v>1.087765636</v>
      </c>
      <c r="M185" s="90">
        <f t="shared" si="11"/>
        <v>0.970891146</v>
      </c>
      <c r="N185" s="90">
        <f t="shared" si="5"/>
        <v>10.58149711</v>
      </c>
      <c r="O185" s="90">
        <f t="shared" si="6"/>
        <v>111.9680811</v>
      </c>
    </row>
    <row r="186" ht="14.25" customHeight="1">
      <c r="A186" s="90">
        <v>5.0</v>
      </c>
      <c r="B186" s="90">
        <v>185.0</v>
      </c>
      <c r="C186" s="90">
        <v>196.433655</v>
      </c>
      <c r="D186" s="90">
        <f t="shared" si="7"/>
        <v>203.7800112</v>
      </c>
      <c r="E186" s="90">
        <f t="shared" si="8"/>
        <v>202.40945</v>
      </c>
      <c r="F186" s="91">
        <f t="shared" si="9"/>
        <v>0.9704766996</v>
      </c>
      <c r="G186" s="90">
        <v>0.9999484979028709</v>
      </c>
      <c r="H186" s="90">
        <f t="shared" si="1"/>
        <v>196.4437723</v>
      </c>
      <c r="I186" s="90">
        <f t="shared" si="2"/>
        <v>188.7140333</v>
      </c>
      <c r="J186" s="90">
        <f t="shared" si="3"/>
        <v>188.7043142</v>
      </c>
      <c r="K186" s="90">
        <f t="shared" si="4"/>
        <v>1.040960064</v>
      </c>
      <c r="L186" s="90">
        <f t="shared" si="10"/>
        <v>1.079131326</v>
      </c>
      <c r="M186" s="90">
        <f t="shared" si="11"/>
        <v>0.9646277886</v>
      </c>
      <c r="N186" s="90">
        <f t="shared" si="5"/>
        <v>7.729340837</v>
      </c>
      <c r="O186" s="90">
        <f t="shared" si="6"/>
        <v>59.74270977</v>
      </c>
    </row>
    <row r="187" ht="14.25" customHeight="1">
      <c r="A187" s="90">
        <v>1.0</v>
      </c>
      <c r="B187" s="90">
        <v>186.0</v>
      </c>
      <c r="C187" s="90">
        <v>185.017044</v>
      </c>
      <c r="D187" s="90">
        <f t="shared" si="7"/>
        <v>201.0388888</v>
      </c>
      <c r="E187" s="90">
        <f t="shared" si="8"/>
        <v>198.8511797</v>
      </c>
      <c r="F187" s="91">
        <f t="shared" si="9"/>
        <v>0.9304297027</v>
      </c>
      <c r="G187" s="90">
        <v>1.0000594696143654</v>
      </c>
      <c r="H187" s="90">
        <f t="shared" si="1"/>
        <v>185.0060418</v>
      </c>
      <c r="I187" s="90">
        <f t="shared" si="2"/>
        <v>188.6733908</v>
      </c>
      <c r="J187" s="90">
        <f t="shared" si="3"/>
        <v>188.6846111</v>
      </c>
      <c r="K187" s="90">
        <f t="shared" si="4"/>
        <v>0.9805624471</v>
      </c>
      <c r="L187" s="90">
        <f t="shared" si="10"/>
        <v>1.064844878</v>
      </c>
      <c r="M187" s="90">
        <f t="shared" si="11"/>
        <v>0.9208500384</v>
      </c>
      <c r="N187" s="90">
        <f t="shared" si="5"/>
        <v>-3.667567106</v>
      </c>
      <c r="O187" s="90">
        <f t="shared" si="6"/>
        <v>13.45104848</v>
      </c>
    </row>
    <row r="188" ht="14.25" customHeight="1">
      <c r="A188" s="90">
        <v>2.0</v>
      </c>
      <c r="B188" s="90">
        <v>187.0</v>
      </c>
      <c r="C188" s="90">
        <v>187.945908</v>
      </c>
      <c r="D188" s="90">
        <f t="shared" si="7"/>
        <v>196.6634706</v>
      </c>
      <c r="E188" s="90">
        <f t="shared" si="8"/>
        <v>195.3263719</v>
      </c>
      <c r="F188" s="91">
        <f t="shared" si="9"/>
        <v>0.9622147085</v>
      </c>
      <c r="G188" s="90">
        <v>1.0018825920928427</v>
      </c>
      <c r="H188" s="90">
        <f t="shared" si="1"/>
        <v>187.5927474</v>
      </c>
      <c r="I188" s="90">
        <f t="shared" si="2"/>
        <v>188.6327482</v>
      </c>
      <c r="J188" s="90">
        <f t="shared" si="3"/>
        <v>188.9878667</v>
      </c>
      <c r="K188" s="90">
        <f t="shared" si="4"/>
        <v>0.9944866369</v>
      </c>
      <c r="L188" s="90">
        <f t="shared" si="10"/>
        <v>1.041891768</v>
      </c>
      <c r="M188" s="90">
        <f t="shared" si="11"/>
        <v>0.954500906</v>
      </c>
      <c r="N188" s="90">
        <f t="shared" si="5"/>
        <v>-1.041958734</v>
      </c>
      <c r="O188" s="90">
        <f t="shared" si="6"/>
        <v>1.085678003</v>
      </c>
    </row>
    <row r="189" ht="14.25" customHeight="1">
      <c r="A189" s="90">
        <v>3.0</v>
      </c>
      <c r="B189" s="90">
        <v>188.0</v>
      </c>
      <c r="C189" s="90">
        <v>190.197357</v>
      </c>
      <c r="D189" s="90">
        <f t="shared" si="7"/>
        <v>193.9892732</v>
      </c>
      <c r="E189" s="90">
        <f t="shared" si="8"/>
        <v>192.8733506</v>
      </c>
      <c r="F189" s="91">
        <f t="shared" si="9"/>
        <v>0.9861256436</v>
      </c>
      <c r="G189" s="90">
        <v>0.9988670216408811</v>
      </c>
      <c r="H189" s="90">
        <f t="shared" si="1"/>
        <v>190.4130909</v>
      </c>
      <c r="I189" s="90">
        <f t="shared" si="2"/>
        <v>188.5921057</v>
      </c>
      <c r="J189" s="90">
        <f t="shared" si="3"/>
        <v>188.3784349</v>
      </c>
      <c r="K189" s="90">
        <f t="shared" si="4"/>
        <v>1.009655681</v>
      </c>
      <c r="L189" s="90">
        <f t="shared" si="10"/>
        <v>1.027970935</v>
      </c>
      <c r="M189" s="90">
        <f t="shared" si="11"/>
        <v>0.9821831016</v>
      </c>
      <c r="N189" s="90">
        <f t="shared" si="5"/>
        <v>1.81892212</v>
      </c>
      <c r="O189" s="90">
        <f t="shared" si="6"/>
        <v>3.308477679</v>
      </c>
    </row>
    <row r="190" ht="14.25" customHeight="1">
      <c r="A190" s="90">
        <v>4.0</v>
      </c>
      <c r="B190" s="90">
        <v>189.0</v>
      </c>
      <c r="C190" s="90">
        <v>189.360535</v>
      </c>
      <c r="D190" s="90">
        <f t="shared" si="7"/>
        <v>191.757428</v>
      </c>
      <c r="E190" s="90">
        <f t="shared" si="8"/>
        <v>190.7741639</v>
      </c>
      <c r="F190" s="91">
        <f t="shared" si="9"/>
        <v>0.9925900401</v>
      </c>
      <c r="G190" s="90">
        <v>0.99924241874904</v>
      </c>
      <c r="H190" s="90">
        <f t="shared" si="1"/>
        <v>189.5040998</v>
      </c>
      <c r="I190" s="90">
        <f t="shared" si="2"/>
        <v>188.5514631</v>
      </c>
      <c r="J190" s="90">
        <f t="shared" si="3"/>
        <v>188.40862</v>
      </c>
      <c r="K190" s="90">
        <f t="shared" si="4"/>
        <v>1.005052396</v>
      </c>
      <c r="L190" s="90">
        <f t="shared" si="10"/>
        <v>1.016353371</v>
      </c>
      <c r="M190" s="90">
        <f t="shared" si="11"/>
        <v>0.9888808605</v>
      </c>
      <c r="N190" s="90">
        <f t="shared" si="5"/>
        <v>0.9519149581</v>
      </c>
      <c r="O190" s="90">
        <f t="shared" si="6"/>
        <v>0.9061420874</v>
      </c>
    </row>
    <row r="191" ht="14.25" customHeight="1">
      <c r="A191" s="90">
        <v>5.0</v>
      </c>
      <c r="B191" s="90">
        <v>190.0</v>
      </c>
      <c r="C191" s="90">
        <v>188.284622</v>
      </c>
      <c r="D191" s="90">
        <f t="shared" si="7"/>
        <v>189.7908998</v>
      </c>
      <c r="E191" s="90">
        <f t="shared" si="8"/>
        <v>188.9759965</v>
      </c>
      <c r="F191" s="91">
        <f t="shared" si="9"/>
        <v>0.9963414692</v>
      </c>
      <c r="G191" s="90">
        <v>0.9999484979028709</v>
      </c>
      <c r="H191" s="90">
        <f t="shared" si="1"/>
        <v>188.2943196</v>
      </c>
      <c r="I191" s="90">
        <f t="shared" si="2"/>
        <v>188.5108205</v>
      </c>
      <c r="J191" s="90">
        <f t="shared" si="3"/>
        <v>188.5011118</v>
      </c>
      <c r="K191" s="90">
        <f t="shared" si="4"/>
        <v>0.9988515196</v>
      </c>
      <c r="L191" s="90">
        <f t="shared" si="10"/>
        <v>1.006143445</v>
      </c>
      <c r="M191" s="90">
        <f t="shared" si="11"/>
        <v>0.9927525985</v>
      </c>
      <c r="N191" s="90">
        <f t="shared" si="5"/>
        <v>-0.2164898335</v>
      </c>
      <c r="O191" s="90">
        <f t="shared" si="6"/>
        <v>0.04686784802</v>
      </c>
    </row>
    <row r="192" ht="14.25" customHeight="1">
      <c r="A192" s="90">
        <v>1.0</v>
      </c>
      <c r="B192" s="90">
        <v>191.0</v>
      </c>
      <c r="C192" s="90">
        <v>182.396988</v>
      </c>
      <c r="D192" s="90">
        <f t="shared" si="7"/>
        <v>188.1610932</v>
      </c>
      <c r="E192" s="90">
        <f t="shared" si="8"/>
        <v>187.8990876</v>
      </c>
      <c r="F192" s="91">
        <f t="shared" si="9"/>
        <v>0.970717795</v>
      </c>
      <c r="G192" s="90">
        <v>1.0000594696143654</v>
      </c>
      <c r="H192" s="90">
        <f t="shared" si="1"/>
        <v>182.3861416</v>
      </c>
      <c r="I192" s="90">
        <f t="shared" si="2"/>
        <v>188.470178</v>
      </c>
      <c r="J192" s="90">
        <f t="shared" si="3"/>
        <v>188.4813862</v>
      </c>
      <c r="K192" s="90">
        <f t="shared" si="4"/>
        <v>0.9677188377</v>
      </c>
      <c r="L192" s="90">
        <f t="shared" si="10"/>
        <v>0.9977217362</v>
      </c>
      <c r="M192" s="90">
        <f t="shared" si="11"/>
        <v>0.9699285909</v>
      </c>
      <c r="N192" s="90">
        <f t="shared" si="5"/>
        <v>-6.084398226</v>
      </c>
      <c r="O192" s="90">
        <f t="shared" si="6"/>
        <v>37.01990177</v>
      </c>
    </row>
    <row r="193" ht="14.25" customHeight="1">
      <c r="A193" s="90">
        <v>2.0</v>
      </c>
      <c r="B193" s="90">
        <v>192.0</v>
      </c>
      <c r="C193" s="90">
        <v>185.893707</v>
      </c>
      <c r="D193" s="90">
        <f t="shared" si="7"/>
        <v>187.637082</v>
      </c>
      <c r="E193" s="90">
        <f t="shared" si="8"/>
        <v>187.4318619</v>
      </c>
      <c r="F193" s="91">
        <f t="shared" si="9"/>
        <v>0.9917935249</v>
      </c>
      <c r="G193" s="90">
        <v>1.0018825920928427</v>
      </c>
      <c r="H193" s="90">
        <f t="shared" si="1"/>
        <v>185.5444026</v>
      </c>
      <c r="I193" s="90">
        <f t="shared" si="2"/>
        <v>188.4295354</v>
      </c>
      <c r="J193" s="90">
        <f t="shared" si="3"/>
        <v>188.7842714</v>
      </c>
      <c r="K193" s="90">
        <f t="shared" si="4"/>
        <v>0.9846885318</v>
      </c>
      <c r="L193" s="90">
        <f t="shared" si="10"/>
        <v>0.9951530143</v>
      </c>
      <c r="M193" s="90">
        <f t="shared" si="11"/>
        <v>0.9894845493</v>
      </c>
      <c r="N193" s="90">
        <f t="shared" si="5"/>
        <v>-2.890564371</v>
      </c>
      <c r="O193" s="90">
        <f t="shared" si="6"/>
        <v>8.355362385</v>
      </c>
    </row>
    <row r="194" ht="14.25" customHeight="1">
      <c r="A194" s="90">
        <v>3.0</v>
      </c>
      <c r="B194" s="90">
        <v>193.0</v>
      </c>
      <c r="C194" s="90">
        <v>182.088165</v>
      </c>
      <c r="D194" s="90">
        <f t="shared" si="7"/>
        <v>187.2266418</v>
      </c>
      <c r="E194" s="90">
        <f t="shared" si="8"/>
        <v>186.4157226</v>
      </c>
      <c r="F194" s="91">
        <f t="shared" si="9"/>
        <v>0.9767854474</v>
      </c>
      <c r="G194" s="90">
        <v>0.9988670216408811</v>
      </c>
      <c r="H194" s="90">
        <f t="shared" si="1"/>
        <v>182.294701</v>
      </c>
      <c r="I194" s="90">
        <f t="shared" si="2"/>
        <v>188.3888929</v>
      </c>
      <c r="J194" s="90">
        <f t="shared" si="3"/>
        <v>188.1754523</v>
      </c>
      <c r="K194" s="90">
        <f t="shared" si="4"/>
        <v>0.9676510021</v>
      </c>
      <c r="L194" s="90">
        <f t="shared" si="10"/>
        <v>0.9931933933</v>
      </c>
      <c r="M194" s="90">
        <f t="shared" si="11"/>
        <v>0.9742825603</v>
      </c>
      <c r="N194" s="90">
        <f t="shared" si="5"/>
        <v>-6.08728732</v>
      </c>
      <c r="O194" s="90">
        <f t="shared" si="6"/>
        <v>37.05506692</v>
      </c>
    </row>
    <row r="195" ht="14.25" customHeight="1">
      <c r="A195" s="90">
        <v>4.0</v>
      </c>
      <c r="B195" s="90">
        <v>194.0</v>
      </c>
      <c r="C195" s="90">
        <v>178.97998</v>
      </c>
      <c r="D195" s="90">
        <f t="shared" si="7"/>
        <v>185.6048034</v>
      </c>
      <c r="E195" s="90">
        <f t="shared" si="8"/>
        <v>184.5667479</v>
      </c>
      <c r="F195" s="91">
        <f t="shared" si="9"/>
        <v>0.969730366</v>
      </c>
      <c r="G195" s="90">
        <v>0.99924241874904</v>
      </c>
      <c r="H195" s="90">
        <f t="shared" si="1"/>
        <v>179.1156747</v>
      </c>
      <c r="I195" s="90">
        <f t="shared" si="2"/>
        <v>188.3482503</v>
      </c>
      <c r="J195" s="90">
        <f t="shared" si="3"/>
        <v>188.2055612</v>
      </c>
      <c r="K195" s="90">
        <f t="shared" si="4"/>
        <v>0.9509813571</v>
      </c>
      <c r="L195" s="90">
        <f t="shared" si="10"/>
        <v>0.9847924574</v>
      </c>
      <c r="M195" s="90">
        <f t="shared" si="11"/>
        <v>0.9656667757</v>
      </c>
      <c r="N195" s="90">
        <f t="shared" si="5"/>
        <v>-9.225581197</v>
      </c>
      <c r="O195" s="90">
        <f t="shared" si="6"/>
        <v>85.11134841</v>
      </c>
    </row>
    <row r="196" ht="14.25" customHeight="1">
      <c r="A196" s="90">
        <v>5.0</v>
      </c>
      <c r="B196" s="90">
        <v>195.0</v>
      </c>
      <c r="C196" s="90">
        <v>178.292587</v>
      </c>
      <c r="D196" s="90">
        <f t="shared" si="7"/>
        <v>183.5286924</v>
      </c>
      <c r="E196" s="90">
        <f t="shared" si="8"/>
        <v>182.5294889</v>
      </c>
      <c r="F196" s="91">
        <f t="shared" si="9"/>
        <v>0.9767878499</v>
      </c>
      <c r="G196" s="90">
        <v>0.9999484979028709</v>
      </c>
      <c r="H196" s="90">
        <f t="shared" si="1"/>
        <v>178.3017699</v>
      </c>
      <c r="I196" s="90">
        <f t="shared" si="2"/>
        <v>188.3076077</v>
      </c>
      <c r="J196" s="90">
        <f t="shared" si="3"/>
        <v>188.2979095</v>
      </c>
      <c r="K196" s="90">
        <f t="shared" si="4"/>
        <v>0.9468643994</v>
      </c>
      <c r="L196" s="90">
        <f t="shared" si="10"/>
        <v>0.9739782496</v>
      </c>
      <c r="M196" s="90">
        <f t="shared" si="11"/>
        <v>0.9721617498</v>
      </c>
      <c r="N196" s="90">
        <f t="shared" si="5"/>
        <v>-10.0053225</v>
      </c>
      <c r="O196" s="90">
        <f t="shared" si="6"/>
        <v>100.1064784</v>
      </c>
    </row>
    <row r="197" ht="14.25" customHeight="1">
      <c r="A197" s="90">
        <v>1.0</v>
      </c>
      <c r="B197" s="90">
        <v>196.0</v>
      </c>
      <c r="C197" s="90">
        <v>177.555389</v>
      </c>
      <c r="D197" s="90">
        <f t="shared" si="7"/>
        <v>181.5302854</v>
      </c>
      <c r="E197" s="90">
        <f t="shared" si="8"/>
        <v>181.0461255</v>
      </c>
      <c r="F197" s="91">
        <f t="shared" si="9"/>
        <v>0.9807190765</v>
      </c>
      <c r="G197" s="90">
        <v>1.0000594696143654</v>
      </c>
      <c r="H197" s="90">
        <f t="shared" si="1"/>
        <v>177.5448305</v>
      </c>
      <c r="I197" s="90">
        <f t="shared" si="2"/>
        <v>188.2669652</v>
      </c>
      <c r="J197" s="90">
        <f t="shared" si="3"/>
        <v>188.2781613</v>
      </c>
      <c r="K197" s="90">
        <f t="shared" si="4"/>
        <v>0.9430482417</v>
      </c>
      <c r="L197" s="90">
        <f t="shared" si="10"/>
        <v>0.9635808256</v>
      </c>
      <c r="M197" s="90">
        <f t="shared" si="11"/>
        <v>0.9786913735</v>
      </c>
      <c r="N197" s="90">
        <f t="shared" si="5"/>
        <v>-10.72277235</v>
      </c>
      <c r="O197" s="90">
        <f t="shared" si="6"/>
        <v>114.9778468</v>
      </c>
    </row>
    <row r="198" ht="14.25" customHeight="1">
      <c r="A198" s="90">
        <v>2.0</v>
      </c>
      <c r="B198" s="90">
        <v>197.0</v>
      </c>
      <c r="C198" s="90">
        <v>176.708603</v>
      </c>
      <c r="D198" s="90">
        <f t="shared" si="7"/>
        <v>180.5619656</v>
      </c>
      <c r="E198" s="90">
        <f t="shared" si="8"/>
        <v>179.6434552</v>
      </c>
      <c r="F198" s="91">
        <f t="shared" si="9"/>
        <v>0.983662905</v>
      </c>
      <c r="G198" s="90">
        <v>1.0018825920928427</v>
      </c>
      <c r="H198" s="90">
        <f t="shared" si="1"/>
        <v>176.3765579</v>
      </c>
      <c r="I198" s="90">
        <f t="shared" si="2"/>
        <v>188.2263226</v>
      </c>
      <c r="J198" s="90">
        <f t="shared" si="3"/>
        <v>188.580676</v>
      </c>
      <c r="K198" s="90">
        <f t="shared" si="4"/>
        <v>0.9370451243</v>
      </c>
      <c r="L198" s="90">
        <f t="shared" si="10"/>
        <v>0.9586467064</v>
      </c>
      <c r="M198" s="90">
        <f t="shared" si="11"/>
        <v>0.9774665871</v>
      </c>
      <c r="N198" s="90">
        <f t="shared" si="5"/>
        <v>-11.87207301</v>
      </c>
      <c r="O198" s="90">
        <f t="shared" si="6"/>
        <v>140.9461175</v>
      </c>
    </row>
    <row r="199" ht="14.25" customHeight="1">
      <c r="A199" s="90">
        <v>3.0</v>
      </c>
      <c r="B199" s="90">
        <v>198.0</v>
      </c>
      <c r="C199" s="90">
        <v>177.625122</v>
      </c>
      <c r="D199" s="90">
        <f t="shared" si="7"/>
        <v>178.7249448</v>
      </c>
      <c r="E199" s="90">
        <f t="shared" si="8"/>
        <v>178.2786405</v>
      </c>
      <c r="F199" s="91">
        <f t="shared" si="9"/>
        <v>0.996334286</v>
      </c>
      <c r="G199" s="90">
        <v>0.9988670216408811</v>
      </c>
      <c r="H199" s="90">
        <f t="shared" si="1"/>
        <v>177.8265957</v>
      </c>
      <c r="I199" s="90">
        <f t="shared" si="2"/>
        <v>188.1856801</v>
      </c>
      <c r="J199" s="90">
        <f t="shared" si="3"/>
        <v>187.9724698</v>
      </c>
      <c r="K199" s="90">
        <f t="shared" si="4"/>
        <v>0.9449528552</v>
      </c>
      <c r="L199" s="90">
        <f t="shared" si="10"/>
        <v>0.9491180249</v>
      </c>
      <c r="M199" s="90">
        <f t="shared" si="11"/>
        <v>0.9956115366</v>
      </c>
      <c r="N199" s="90">
        <f t="shared" si="5"/>
        <v>-10.34734776</v>
      </c>
      <c r="O199" s="90">
        <f t="shared" si="6"/>
        <v>107.0676057</v>
      </c>
    </row>
    <row r="200" ht="14.25" customHeight="1">
      <c r="A200" s="90">
        <v>4.0</v>
      </c>
      <c r="B200" s="90">
        <v>199.0</v>
      </c>
      <c r="C200" s="90">
        <v>174.407349</v>
      </c>
      <c r="D200" s="90">
        <f t="shared" si="7"/>
        <v>177.8323362</v>
      </c>
      <c r="E200" s="90">
        <f t="shared" si="8"/>
        <v>177.3750731</v>
      </c>
      <c r="F200" s="91">
        <f t="shared" si="9"/>
        <v>0.9832686519</v>
      </c>
      <c r="G200" s="90">
        <v>0.99924241874904</v>
      </c>
      <c r="H200" s="90">
        <f t="shared" si="1"/>
        <v>174.5395769</v>
      </c>
      <c r="I200" s="90">
        <f t="shared" si="2"/>
        <v>188.1450375</v>
      </c>
      <c r="J200" s="90">
        <f t="shared" si="3"/>
        <v>188.0025024</v>
      </c>
      <c r="K200" s="90">
        <f t="shared" si="4"/>
        <v>0.927686317</v>
      </c>
      <c r="L200" s="90">
        <f t="shared" si="10"/>
        <v>0.9445783956</v>
      </c>
      <c r="M200" s="90">
        <f t="shared" si="11"/>
        <v>0.9821168062</v>
      </c>
      <c r="N200" s="90">
        <f t="shared" si="5"/>
        <v>-13.59515335</v>
      </c>
      <c r="O200" s="90">
        <f t="shared" si="6"/>
        <v>184.8281946</v>
      </c>
    </row>
    <row r="201" ht="14.25" customHeight="1">
      <c r="A201" s="90">
        <v>5.0</v>
      </c>
      <c r="B201" s="90">
        <v>200.0</v>
      </c>
      <c r="C201" s="90">
        <v>172.644043</v>
      </c>
      <c r="D201" s="90">
        <f t="shared" si="7"/>
        <v>176.91781</v>
      </c>
      <c r="E201" s="90">
        <f t="shared" si="8"/>
        <v>176.3529556</v>
      </c>
      <c r="F201" s="91">
        <f t="shared" si="9"/>
        <v>0.9789688095</v>
      </c>
      <c r="G201" s="90">
        <v>0.9999484979028709</v>
      </c>
      <c r="H201" s="90">
        <f t="shared" si="1"/>
        <v>172.652935</v>
      </c>
      <c r="I201" s="90">
        <f t="shared" si="2"/>
        <v>188.1043949</v>
      </c>
      <c r="J201" s="90">
        <f t="shared" si="3"/>
        <v>188.0947072</v>
      </c>
      <c r="K201" s="90">
        <f t="shared" si="4"/>
        <v>0.9178569966</v>
      </c>
      <c r="L201" s="90">
        <f t="shared" si="10"/>
        <v>0.9399193875</v>
      </c>
      <c r="M201" s="90">
        <f t="shared" si="11"/>
        <v>0.9765273584</v>
      </c>
      <c r="N201" s="90">
        <f t="shared" si="5"/>
        <v>-15.45066417</v>
      </c>
      <c r="O201" s="90">
        <f t="shared" si="6"/>
        <v>238.7230234</v>
      </c>
    </row>
    <row r="202" ht="14.25" customHeight="1">
      <c r="A202" s="90">
        <v>1.0</v>
      </c>
      <c r="B202" s="90">
        <v>201.0</v>
      </c>
      <c r="C202" s="90">
        <v>178.960052</v>
      </c>
      <c r="D202" s="90">
        <f t="shared" si="7"/>
        <v>175.7881012</v>
      </c>
      <c r="E202" s="90">
        <f t="shared" si="8"/>
        <v>175.9285675</v>
      </c>
      <c r="F202" s="91">
        <f t="shared" si="9"/>
        <v>1.017231337</v>
      </c>
      <c r="G202" s="90">
        <v>1.0000594696143654</v>
      </c>
      <c r="H202" s="90">
        <f t="shared" si="1"/>
        <v>178.9494099</v>
      </c>
      <c r="I202" s="90">
        <f t="shared" si="2"/>
        <v>188.0637524</v>
      </c>
      <c r="J202" s="90">
        <f t="shared" si="3"/>
        <v>188.0749365</v>
      </c>
      <c r="K202" s="90">
        <f t="shared" si="4"/>
        <v>0.9515358897</v>
      </c>
      <c r="L202" s="90">
        <f t="shared" si="10"/>
        <v>0.934117907</v>
      </c>
      <c r="M202" s="90">
        <f t="shared" si="11"/>
        <v>1.01864645</v>
      </c>
      <c r="N202" s="90">
        <f t="shared" si="5"/>
        <v>-9.114884465</v>
      </c>
      <c r="O202" s="90">
        <f t="shared" si="6"/>
        <v>83.0811188</v>
      </c>
    </row>
    <row r="203" ht="14.25" customHeight="1">
      <c r="A203" s="90">
        <v>2.0</v>
      </c>
      <c r="B203" s="90">
        <v>202.0</v>
      </c>
      <c r="C203" s="90">
        <v>181.84906</v>
      </c>
      <c r="D203" s="90">
        <f t="shared" si="7"/>
        <v>176.0690338</v>
      </c>
      <c r="E203" s="90">
        <f t="shared" si="8"/>
        <v>176.5830795</v>
      </c>
      <c r="F203" s="91">
        <f t="shared" si="9"/>
        <v>1.029821546</v>
      </c>
      <c r="G203" s="90">
        <v>1.0018825920928427</v>
      </c>
      <c r="H203" s="90">
        <f t="shared" si="1"/>
        <v>181.5073557</v>
      </c>
      <c r="I203" s="90">
        <f t="shared" si="2"/>
        <v>188.0231098</v>
      </c>
      <c r="J203" s="90">
        <f t="shared" si="3"/>
        <v>188.3770806</v>
      </c>
      <c r="K203" s="90">
        <f t="shared" si="4"/>
        <v>0.9653459931</v>
      </c>
      <c r="L203" s="90">
        <f t="shared" si="10"/>
        <v>0.9358154366</v>
      </c>
      <c r="M203" s="90">
        <f t="shared" si="11"/>
        <v>1.031555962</v>
      </c>
      <c r="N203" s="90">
        <f t="shared" si="5"/>
        <v>-6.528020647</v>
      </c>
      <c r="O203" s="90">
        <f t="shared" si="6"/>
        <v>42.61505356</v>
      </c>
    </row>
    <row r="204" ht="14.25" customHeight="1">
      <c r="A204" s="90">
        <v>3.0</v>
      </c>
      <c r="B204" s="90">
        <v>203.0</v>
      </c>
      <c r="C204" s="90">
        <v>184.518936</v>
      </c>
      <c r="D204" s="90">
        <f t="shared" si="7"/>
        <v>177.0971252</v>
      </c>
      <c r="E204" s="90">
        <f t="shared" si="8"/>
        <v>177.7865066</v>
      </c>
      <c r="F204" s="91">
        <f t="shared" si="9"/>
        <v>1.037868056</v>
      </c>
      <c r="G204" s="90">
        <v>0.9988670216408811</v>
      </c>
      <c r="H204" s="90">
        <f t="shared" si="1"/>
        <v>184.7282291</v>
      </c>
      <c r="I204" s="90">
        <f t="shared" si="2"/>
        <v>187.9824673</v>
      </c>
      <c r="J204" s="90">
        <f t="shared" si="3"/>
        <v>187.7694872</v>
      </c>
      <c r="K204" s="90">
        <f t="shared" si="4"/>
        <v>0.982688608</v>
      </c>
      <c r="L204" s="90">
        <f t="shared" si="10"/>
        <v>0.9414756103</v>
      </c>
      <c r="M204" s="90">
        <f t="shared" si="11"/>
        <v>1.043774897</v>
      </c>
      <c r="N204" s="90">
        <f t="shared" si="5"/>
        <v>-3.2505512</v>
      </c>
      <c r="O204" s="90">
        <f t="shared" si="6"/>
        <v>10.56608311</v>
      </c>
    </row>
    <row r="205" ht="14.25" customHeight="1">
      <c r="A205" s="90">
        <v>4.0</v>
      </c>
      <c r="B205" s="90">
        <v>204.0</v>
      </c>
      <c r="C205" s="90">
        <v>189.430267</v>
      </c>
      <c r="D205" s="90">
        <f t="shared" si="7"/>
        <v>178.475888</v>
      </c>
      <c r="E205" s="90">
        <f t="shared" si="8"/>
        <v>179.9781798</v>
      </c>
      <c r="F205" s="91">
        <f t="shared" si="9"/>
        <v>1.052517962</v>
      </c>
      <c r="G205" s="90">
        <v>0.99924241874904</v>
      </c>
      <c r="H205" s="90">
        <f t="shared" si="1"/>
        <v>189.5738846</v>
      </c>
      <c r="I205" s="90">
        <f t="shared" si="2"/>
        <v>187.9418247</v>
      </c>
      <c r="J205" s="90">
        <f t="shared" si="3"/>
        <v>187.7994435</v>
      </c>
      <c r="K205" s="90">
        <f t="shared" si="4"/>
        <v>1.008683857</v>
      </c>
      <c r="L205" s="90">
        <f t="shared" si="10"/>
        <v>0.9490227609</v>
      </c>
      <c r="M205" s="90">
        <f t="shared" si="11"/>
        <v>1.062865822</v>
      </c>
      <c r="N205" s="90">
        <f t="shared" si="5"/>
        <v>1.630823494</v>
      </c>
      <c r="O205" s="90">
        <f t="shared" si="6"/>
        <v>2.659585269</v>
      </c>
    </row>
    <row r="206" ht="14.25" customHeight="1">
      <c r="A206" s="90">
        <v>5.0</v>
      </c>
      <c r="B206" s="90">
        <v>205.0</v>
      </c>
      <c r="C206" s="90">
        <v>191.851074</v>
      </c>
      <c r="D206" s="90">
        <f t="shared" si="7"/>
        <v>181.4804716</v>
      </c>
      <c r="E206" s="90">
        <f t="shared" si="8"/>
        <v>183.4011747</v>
      </c>
      <c r="F206" s="91">
        <f t="shared" si="9"/>
        <v>1.046073311</v>
      </c>
      <c r="G206" s="90">
        <v>0.9999484979028709</v>
      </c>
      <c r="H206" s="90">
        <f t="shared" si="1"/>
        <v>191.8609552</v>
      </c>
      <c r="I206" s="90">
        <f t="shared" si="2"/>
        <v>187.9011821</v>
      </c>
      <c r="J206" s="90">
        <f t="shared" si="3"/>
        <v>187.8915048</v>
      </c>
      <c r="K206" s="90">
        <f t="shared" si="4"/>
        <v>1.0210737</v>
      </c>
      <c r="L206" s="90">
        <f t="shared" si="10"/>
        <v>0.9652222689</v>
      </c>
      <c r="M206" s="90">
        <f t="shared" si="11"/>
        <v>1.057863803</v>
      </c>
      <c r="N206" s="90">
        <f t="shared" si="5"/>
        <v>3.959569156</v>
      </c>
      <c r="O206" s="90">
        <f t="shared" si="6"/>
        <v>15.6781879</v>
      </c>
    </row>
    <row r="207" ht="14.25" customHeight="1">
      <c r="A207" s="90">
        <v>1.0</v>
      </c>
      <c r="B207" s="90">
        <v>206.0</v>
      </c>
      <c r="C207" s="90">
        <v>194.072632</v>
      </c>
      <c r="D207" s="90">
        <f t="shared" si="7"/>
        <v>185.3218778</v>
      </c>
      <c r="E207" s="90">
        <f t="shared" si="8"/>
        <v>186.8331358</v>
      </c>
      <c r="F207" s="91">
        <f t="shared" si="9"/>
        <v>1.03874846</v>
      </c>
      <c r="G207" s="90">
        <v>1.0000594696143654</v>
      </c>
      <c r="H207" s="90">
        <f t="shared" si="1"/>
        <v>194.0610913</v>
      </c>
      <c r="I207" s="90">
        <f t="shared" si="2"/>
        <v>187.8605396</v>
      </c>
      <c r="J207" s="90">
        <f t="shared" si="3"/>
        <v>187.8717116</v>
      </c>
      <c r="K207" s="90">
        <f t="shared" si="4"/>
        <v>1.033006142</v>
      </c>
      <c r="L207" s="90">
        <f t="shared" si="10"/>
        <v>0.9858656095</v>
      </c>
      <c r="M207" s="90">
        <f t="shared" si="11"/>
        <v>1.047816388</v>
      </c>
      <c r="N207" s="90">
        <f t="shared" si="5"/>
        <v>6.200920416</v>
      </c>
      <c r="O207" s="90">
        <f t="shared" si="6"/>
        <v>38.451414</v>
      </c>
    </row>
    <row r="208" ht="14.25" customHeight="1">
      <c r="A208" s="90">
        <v>2.0</v>
      </c>
      <c r="B208" s="90">
        <v>207.0</v>
      </c>
      <c r="C208" s="90">
        <v>193.454987</v>
      </c>
      <c r="D208" s="90">
        <f t="shared" si="7"/>
        <v>188.3443938</v>
      </c>
      <c r="E208" s="90">
        <f t="shared" si="8"/>
        <v>189.5049865</v>
      </c>
      <c r="F208" s="91">
        <f t="shared" si="9"/>
        <v>1.020843781</v>
      </c>
      <c r="G208" s="90">
        <v>1.0018825920928427</v>
      </c>
      <c r="H208" s="90">
        <f t="shared" si="1"/>
        <v>193.0914745</v>
      </c>
      <c r="I208" s="90">
        <f t="shared" si="2"/>
        <v>187.819897</v>
      </c>
      <c r="J208" s="90">
        <f t="shared" si="3"/>
        <v>188.1734853</v>
      </c>
      <c r="K208" s="90">
        <f t="shared" si="4"/>
        <v>1.028067194</v>
      </c>
      <c r="L208" s="90">
        <f t="shared" si="10"/>
        <v>1.00215966</v>
      </c>
      <c r="M208" s="90">
        <f t="shared" si="11"/>
        <v>1.025851703</v>
      </c>
      <c r="N208" s="90">
        <f t="shared" si="5"/>
        <v>5.281501716</v>
      </c>
      <c r="O208" s="90">
        <f t="shared" si="6"/>
        <v>27.89426037</v>
      </c>
    </row>
    <row r="209" ht="14.25" customHeight="1">
      <c r="A209" s="90">
        <v>3.0</v>
      </c>
      <c r="B209" s="90">
        <v>208.0</v>
      </c>
      <c r="C209" s="90">
        <v>193.415115</v>
      </c>
      <c r="D209" s="90">
        <f t="shared" si="7"/>
        <v>190.6655792</v>
      </c>
      <c r="E209" s="90">
        <f t="shared" si="8"/>
        <v>191.5551971</v>
      </c>
      <c r="F209" s="91">
        <f t="shared" si="9"/>
        <v>1.009709566</v>
      </c>
      <c r="G209" s="90">
        <v>0.9988670216408811</v>
      </c>
      <c r="H209" s="90">
        <f t="shared" si="1"/>
        <v>193.6344987</v>
      </c>
      <c r="I209" s="90">
        <f t="shared" si="2"/>
        <v>187.7792545</v>
      </c>
      <c r="J209" s="90">
        <f t="shared" si="3"/>
        <v>187.5665046</v>
      </c>
      <c r="K209" s="90">
        <f t="shared" si="4"/>
        <v>1.031181529</v>
      </c>
      <c r="L209" s="90">
        <f t="shared" si="10"/>
        <v>1.0147039</v>
      </c>
      <c r="M209" s="90">
        <f t="shared" si="11"/>
        <v>1.016238854</v>
      </c>
      <c r="N209" s="90">
        <f t="shared" si="5"/>
        <v>5.84861036</v>
      </c>
      <c r="O209" s="90">
        <f t="shared" si="6"/>
        <v>34.20624314</v>
      </c>
    </row>
    <row r="210" ht="14.25" customHeight="1">
      <c r="A210" s="90">
        <v>4.0</v>
      </c>
      <c r="B210" s="90">
        <v>209.0</v>
      </c>
      <c r="C210" s="90">
        <v>192.010468</v>
      </c>
      <c r="D210" s="90">
        <f t="shared" si="7"/>
        <v>192.444815</v>
      </c>
      <c r="E210" s="90">
        <f t="shared" si="8"/>
        <v>192.7028351</v>
      </c>
      <c r="F210" s="91">
        <f t="shared" si="9"/>
        <v>0.9964070736</v>
      </c>
      <c r="G210" s="90">
        <v>0.99924241874904</v>
      </c>
      <c r="H210" s="90">
        <f t="shared" si="1"/>
        <v>192.1560418</v>
      </c>
      <c r="I210" s="90">
        <f t="shared" si="2"/>
        <v>187.7386119</v>
      </c>
      <c r="J210" s="90">
        <f t="shared" si="3"/>
        <v>187.5963847</v>
      </c>
      <c r="K210" s="90">
        <f t="shared" si="4"/>
        <v>1.023529682</v>
      </c>
      <c r="L210" s="90">
        <f t="shared" si="10"/>
        <v>1.024402484</v>
      </c>
      <c r="M210" s="90">
        <f t="shared" si="11"/>
        <v>0.9991479892</v>
      </c>
      <c r="N210" s="90">
        <f t="shared" si="5"/>
        <v>4.41408334</v>
      </c>
      <c r="O210" s="90">
        <f t="shared" si="6"/>
        <v>19.48413173</v>
      </c>
    </row>
    <row r="211" ht="14.25" customHeight="1">
      <c r="A211" s="90">
        <v>5.0</v>
      </c>
      <c r="B211" s="90">
        <v>210.0</v>
      </c>
      <c r="C211" s="90">
        <v>193.156113</v>
      </c>
      <c r="D211" s="90">
        <f t="shared" si="7"/>
        <v>192.9608552</v>
      </c>
      <c r="E211" s="90">
        <f t="shared" si="8"/>
        <v>193.0913591</v>
      </c>
      <c r="F211" s="91">
        <f t="shared" si="9"/>
        <v>1.000335354</v>
      </c>
      <c r="G211" s="90">
        <v>0.9999484979028709</v>
      </c>
      <c r="H211" s="90">
        <f t="shared" si="1"/>
        <v>193.1660615</v>
      </c>
      <c r="I211" s="90">
        <f t="shared" si="2"/>
        <v>187.6979694</v>
      </c>
      <c r="J211" s="90">
        <f t="shared" si="3"/>
        <v>187.6883025</v>
      </c>
      <c r="K211" s="90">
        <f t="shared" si="4"/>
        <v>1.029132399</v>
      </c>
      <c r="L211" s="90">
        <f t="shared" si="10"/>
        <v>1.027371649</v>
      </c>
      <c r="M211" s="90">
        <f t="shared" si="11"/>
        <v>1.001713839</v>
      </c>
      <c r="N211" s="90">
        <f t="shared" si="5"/>
        <v>5.467810485</v>
      </c>
      <c r="O211" s="90">
        <f t="shared" si="6"/>
        <v>29.8969515</v>
      </c>
    </row>
    <row r="212" ht="14.25" customHeight="1">
      <c r="A212" s="90">
        <v>1.0</v>
      </c>
      <c r="B212" s="90">
        <v>211.0</v>
      </c>
      <c r="C212" s="90">
        <v>197.698853</v>
      </c>
      <c r="D212" s="90">
        <f t="shared" si="7"/>
        <v>193.221863</v>
      </c>
      <c r="E212" s="90">
        <f t="shared" si="8"/>
        <v>193.5844851</v>
      </c>
      <c r="F212" s="91">
        <f t="shared" si="9"/>
        <v>1.021253604</v>
      </c>
      <c r="G212" s="90">
        <v>1.0000594696143654</v>
      </c>
      <c r="H212" s="90">
        <f t="shared" si="1"/>
        <v>197.6870966</v>
      </c>
      <c r="I212" s="90">
        <f t="shared" si="2"/>
        <v>187.6573268</v>
      </c>
      <c r="J212" s="90">
        <f t="shared" si="3"/>
        <v>187.6684867</v>
      </c>
      <c r="K212" s="90">
        <f t="shared" si="4"/>
        <v>1.053447259</v>
      </c>
      <c r="L212" s="90">
        <f t="shared" si="10"/>
        <v>1.028983389</v>
      </c>
      <c r="M212" s="90">
        <f t="shared" si="11"/>
        <v>1.023774796</v>
      </c>
      <c r="N212" s="90">
        <f t="shared" si="5"/>
        <v>10.0303663</v>
      </c>
      <c r="O212" s="90">
        <f t="shared" si="6"/>
        <v>100.608248</v>
      </c>
    </row>
    <row r="213" ht="14.25" customHeight="1">
      <c r="A213" s="90">
        <v>2.0</v>
      </c>
      <c r="B213" s="90">
        <v>212.0</v>
      </c>
      <c r="C213" s="90">
        <v>197.121048</v>
      </c>
      <c r="D213" s="90">
        <f t="shared" si="7"/>
        <v>193.9471072</v>
      </c>
      <c r="E213" s="90">
        <f t="shared" si="8"/>
        <v>194.3137133</v>
      </c>
      <c r="F213" s="91">
        <f t="shared" si="9"/>
        <v>1.014447435</v>
      </c>
      <c r="G213" s="90">
        <v>1.0018825920928427</v>
      </c>
      <c r="H213" s="90">
        <f t="shared" si="1"/>
        <v>196.7506468</v>
      </c>
      <c r="I213" s="90">
        <f t="shared" si="2"/>
        <v>187.6166842</v>
      </c>
      <c r="J213" s="90">
        <f t="shared" si="3"/>
        <v>187.9698899</v>
      </c>
      <c r="K213" s="90">
        <f t="shared" si="4"/>
        <v>1.04868417</v>
      </c>
      <c r="L213" s="90">
        <f t="shared" si="10"/>
        <v>1.033071613</v>
      </c>
      <c r="M213" s="90">
        <f t="shared" si="11"/>
        <v>1.015112754</v>
      </c>
      <c r="N213" s="90">
        <f t="shared" si="5"/>
        <v>9.151158078</v>
      </c>
      <c r="O213" s="90">
        <f t="shared" si="6"/>
        <v>83.74369417</v>
      </c>
    </row>
    <row r="214" ht="14.25" customHeight="1">
      <c r="A214" s="90">
        <v>3.0</v>
      </c>
      <c r="B214" s="90">
        <v>213.0</v>
      </c>
      <c r="C214" s="90">
        <v>198.705032</v>
      </c>
      <c r="D214" s="90">
        <f t="shared" si="7"/>
        <v>194.6803194</v>
      </c>
      <c r="E214" s="90">
        <f t="shared" si="8"/>
        <v>195.2093111</v>
      </c>
      <c r="F214" s="91">
        <f t="shared" si="9"/>
        <v>1.017907552</v>
      </c>
      <c r="G214" s="90">
        <v>0.9988670216408811</v>
      </c>
      <c r="H214" s="90">
        <f t="shared" si="1"/>
        <v>198.9304159</v>
      </c>
      <c r="I214" s="90">
        <f t="shared" si="2"/>
        <v>187.5760417</v>
      </c>
      <c r="J214" s="90">
        <f t="shared" si="3"/>
        <v>187.3635221</v>
      </c>
      <c r="K214" s="90">
        <f t="shared" si="4"/>
        <v>1.060532113</v>
      </c>
      <c r="L214" s="90">
        <f t="shared" si="10"/>
        <v>1.037195008</v>
      </c>
      <c r="M214" s="90">
        <f t="shared" si="11"/>
        <v>1.02250021</v>
      </c>
      <c r="N214" s="90">
        <f t="shared" si="5"/>
        <v>11.34150992</v>
      </c>
      <c r="O214" s="90">
        <f t="shared" si="6"/>
        <v>128.6298473</v>
      </c>
    </row>
    <row r="215" ht="14.25" customHeight="1">
      <c r="A215" s="90">
        <v>4.0</v>
      </c>
      <c r="B215" s="90">
        <v>214.0</v>
      </c>
      <c r="C215" s="90">
        <v>198.027603</v>
      </c>
      <c r="D215" s="90">
        <f t="shared" si="7"/>
        <v>195.7383028</v>
      </c>
      <c r="E215" s="90">
        <f t="shared" si="8"/>
        <v>196.3400163</v>
      </c>
      <c r="F215" s="91">
        <f t="shared" si="9"/>
        <v>1.008595225</v>
      </c>
      <c r="G215" s="90">
        <v>0.99924241874904</v>
      </c>
      <c r="H215" s="90">
        <f t="shared" si="1"/>
        <v>198.1777387</v>
      </c>
      <c r="I215" s="90">
        <f t="shared" si="2"/>
        <v>187.5353991</v>
      </c>
      <c r="J215" s="90">
        <f t="shared" si="3"/>
        <v>187.3933258</v>
      </c>
      <c r="K215" s="90">
        <f t="shared" si="4"/>
        <v>1.056748431</v>
      </c>
      <c r="L215" s="90">
        <f t="shared" si="10"/>
        <v>1.043065125</v>
      </c>
      <c r="M215" s="90">
        <f t="shared" si="11"/>
        <v>1.013118362</v>
      </c>
      <c r="N215" s="90">
        <f t="shared" si="5"/>
        <v>10.63427718</v>
      </c>
      <c r="O215" s="90">
        <f t="shared" si="6"/>
        <v>113.0878512</v>
      </c>
    </row>
    <row r="216" ht="14.25" customHeight="1">
      <c r="A216" s="90">
        <v>5.0</v>
      </c>
      <c r="B216" s="90">
        <v>215.0</v>
      </c>
      <c r="C216" s="90">
        <v>197.828369</v>
      </c>
      <c r="D216" s="90">
        <f t="shared" si="7"/>
        <v>196.9417298</v>
      </c>
      <c r="E216" s="90">
        <f t="shared" si="8"/>
        <v>197.4089554</v>
      </c>
      <c r="F216" s="91">
        <f t="shared" si="9"/>
        <v>1.002124593</v>
      </c>
      <c r="G216" s="90">
        <v>0.9999484979028709</v>
      </c>
      <c r="H216" s="90">
        <f t="shared" si="1"/>
        <v>197.8385581</v>
      </c>
      <c r="I216" s="90">
        <f t="shared" si="2"/>
        <v>187.4947566</v>
      </c>
      <c r="J216" s="90">
        <f t="shared" si="3"/>
        <v>187.4851002</v>
      </c>
      <c r="K216" s="90">
        <f t="shared" si="4"/>
        <v>1.055168484</v>
      </c>
      <c r="L216" s="90">
        <f t="shared" si="10"/>
        <v>1.049708874</v>
      </c>
      <c r="M216" s="90">
        <f t="shared" si="11"/>
        <v>1.005201071</v>
      </c>
      <c r="N216" s="90">
        <f t="shared" si="5"/>
        <v>10.34326881</v>
      </c>
      <c r="O216" s="90">
        <f t="shared" si="6"/>
        <v>106.9832098</v>
      </c>
    </row>
    <row r="217" ht="14.25" customHeight="1">
      <c r="A217" s="90">
        <v>1.0</v>
      </c>
      <c r="B217" s="90">
        <v>216.0</v>
      </c>
      <c r="C217" s="90">
        <v>194.829758</v>
      </c>
      <c r="D217" s="90">
        <f t="shared" si="7"/>
        <v>197.876181</v>
      </c>
      <c r="E217" s="90">
        <f t="shared" si="8"/>
        <v>197.5892715</v>
      </c>
      <c r="F217" s="91">
        <f t="shared" si="9"/>
        <v>0.9860340924</v>
      </c>
      <c r="G217" s="90">
        <v>1.0000594696143654</v>
      </c>
      <c r="H217" s="90">
        <f t="shared" si="1"/>
        <v>194.8181722</v>
      </c>
      <c r="I217" s="90">
        <f t="shared" si="2"/>
        <v>187.454114</v>
      </c>
      <c r="J217" s="90">
        <f t="shared" si="3"/>
        <v>187.4652618</v>
      </c>
      <c r="K217" s="90">
        <f t="shared" si="4"/>
        <v>1.039284591</v>
      </c>
      <c r="L217" s="90">
        <f t="shared" si="10"/>
        <v>1.054916092</v>
      </c>
      <c r="M217" s="90">
        <f t="shared" si="11"/>
        <v>0.9851822335</v>
      </c>
      <c r="N217" s="90">
        <f t="shared" si="5"/>
        <v>7.364496177</v>
      </c>
      <c r="O217" s="90">
        <f t="shared" si="6"/>
        <v>54.23580394</v>
      </c>
    </row>
    <row r="218" ht="14.25" customHeight="1">
      <c r="A218" s="90">
        <v>2.0</v>
      </c>
      <c r="B218" s="90">
        <v>217.0</v>
      </c>
      <c r="C218" s="90">
        <v>199.043747</v>
      </c>
      <c r="D218" s="90">
        <f t="shared" si="7"/>
        <v>197.302362</v>
      </c>
      <c r="E218" s="90">
        <f t="shared" si="8"/>
        <v>197.4946319</v>
      </c>
      <c r="F218" s="91">
        <f t="shared" si="9"/>
        <v>1.007843834</v>
      </c>
      <c r="G218" s="90">
        <v>1.0018825920928427</v>
      </c>
      <c r="H218" s="90">
        <f t="shared" si="1"/>
        <v>198.6697329</v>
      </c>
      <c r="I218" s="90">
        <f t="shared" si="2"/>
        <v>187.4134714</v>
      </c>
      <c r="J218" s="90">
        <f t="shared" si="3"/>
        <v>187.7662946</v>
      </c>
      <c r="K218" s="90">
        <f t="shared" si="4"/>
        <v>1.060061112</v>
      </c>
      <c r="L218" s="90">
        <f t="shared" si="10"/>
        <v>1.052083558</v>
      </c>
      <c r="M218" s="90">
        <f t="shared" si="11"/>
        <v>1.007582624</v>
      </c>
      <c r="N218" s="90">
        <f t="shared" si="5"/>
        <v>11.27745244</v>
      </c>
      <c r="O218" s="90">
        <f t="shared" si="6"/>
        <v>127.1809336</v>
      </c>
    </row>
    <row r="219" ht="14.25" customHeight="1">
      <c r="A219" s="90">
        <v>3.0</v>
      </c>
      <c r="B219" s="90">
        <v>218.0</v>
      </c>
      <c r="C219" s="90">
        <v>198.983978</v>
      </c>
      <c r="D219" s="90">
        <f t="shared" si="7"/>
        <v>197.6869018</v>
      </c>
      <c r="E219" s="90">
        <f t="shared" si="8"/>
        <v>197.7147964</v>
      </c>
      <c r="F219" s="91">
        <f t="shared" si="9"/>
        <v>1.006419255</v>
      </c>
      <c r="G219" s="90">
        <v>0.9988670216408811</v>
      </c>
      <c r="H219" s="90">
        <f t="shared" si="1"/>
        <v>199.2096783</v>
      </c>
      <c r="I219" s="90">
        <f t="shared" si="2"/>
        <v>187.3728289</v>
      </c>
      <c r="J219" s="90">
        <f t="shared" si="3"/>
        <v>187.1605395</v>
      </c>
      <c r="K219" s="90">
        <f t="shared" si="4"/>
        <v>1.06317271</v>
      </c>
      <c r="L219" s="90">
        <f t="shared" si="10"/>
        <v>1.054358946</v>
      </c>
      <c r="M219" s="90">
        <f t="shared" si="11"/>
        <v>1.008359358</v>
      </c>
      <c r="N219" s="90">
        <f t="shared" si="5"/>
        <v>11.82343848</v>
      </c>
      <c r="O219" s="90">
        <f t="shared" si="6"/>
        <v>139.7936975</v>
      </c>
    </row>
    <row r="220" ht="14.25" customHeight="1">
      <c r="A220" s="90">
        <v>4.0</v>
      </c>
      <c r="B220" s="90">
        <v>219.0</v>
      </c>
      <c r="C220" s="90">
        <v>197.170853</v>
      </c>
      <c r="D220" s="90">
        <f t="shared" si="7"/>
        <v>197.742691</v>
      </c>
      <c r="E220" s="90">
        <f t="shared" si="8"/>
        <v>197.657016</v>
      </c>
      <c r="F220" s="91">
        <f t="shared" si="9"/>
        <v>0.9975403706</v>
      </c>
      <c r="G220" s="90">
        <v>0.99924241874904</v>
      </c>
      <c r="H220" s="90">
        <f t="shared" si="1"/>
        <v>197.3203392</v>
      </c>
      <c r="I220" s="90">
        <f t="shared" si="2"/>
        <v>187.3321863</v>
      </c>
      <c r="J220" s="90">
        <f t="shared" si="3"/>
        <v>187.190267</v>
      </c>
      <c r="K220" s="90">
        <f t="shared" si="4"/>
        <v>1.053317868</v>
      </c>
      <c r="L220" s="90">
        <f t="shared" si="10"/>
        <v>1.054887066</v>
      </c>
      <c r="M220" s="90">
        <f t="shared" si="11"/>
        <v>0.99851245</v>
      </c>
      <c r="N220" s="90">
        <f t="shared" si="5"/>
        <v>9.98058603</v>
      </c>
      <c r="O220" s="90">
        <f t="shared" si="6"/>
        <v>99.61209751</v>
      </c>
    </row>
    <row r="221" ht="14.25" customHeight="1">
      <c r="A221" s="90">
        <v>5.0</v>
      </c>
      <c r="B221" s="90">
        <v>220.0</v>
      </c>
      <c r="C221" s="90">
        <v>200.787125</v>
      </c>
      <c r="D221" s="90">
        <f t="shared" si="7"/>
        <v>197.571341</v>
      </c>
      <c r="E221" s="90">
        <f t="shared" si="8"/>
        <v>197.8672166</v>
      </c>
      <c r="F221" s="91">
        <f t="shared" si="9"/>
        <v>1.014756908</v>
      </c>
      <c r="G221" s="90">
        <v>0.9999484979028709</v>
      </c>
      <c r="H221" s="90">
        <f t="shared" si="1"/>
        <v>200.7974665</v>
      </c>
      <c r="I221" s="90">
        <f t="shared" si="2"/>
        <v>187.2915438</v>
      </c>
      <c r="J221" s="90">
        <f t="shared" si="3"/>
        <v>187.2818979</v>
      </c>
      <c r="K221" s="90">
        <f t="shared" si="4"/>
        <v>1.072111759</v>
      </c>
      <c r="L221" s="90">
        <f t="shared" si="10"/>
        <v>1.054200953</v>
      </c>
      <c r="M221" s="90">
        <f t="shared" si="11"/>
        <v>1.016989935</v>
      </c>
      <c r="N221" s="90">
        <f t="shared" si="5"/>
        <v>13.50522714</v>
      </c>
      <c r="O221" s="90">
        <f t="shared" si="6"/>
        <v>182.3911602</v>
      </c>
    </row>
    <row r="222" ht="14.25" customHeight="1">
      <c r="A222" s="90">
        <v>1.0</v>
      </c>
      <c r="B222" s="90">
        <v>221.0</v>
      </c>
      <c r="C222" s="90">
        <v>201.962646</v>
      </c>
      <c r="D222" s="90">
        <f t="shared" si="7"/>
        <v>198.1630922</v>
      </c>
      <c r="E222" s="90">
        <f t="shared" si="8"/>
        <v>198.876381</v>
      </c>
      <c r="F222" s="91">
        <f t="shared" si="9"/>
        <v>1.015518509</v>
      </c>
      <c r="G222" s="90">
        <v>1.0000594696143654</v>
      </c>
      <c r="H222" s="90">
        <f t="shared" si="1"/>
        <v>201.9506361</v>
      </c>
      <c r="I222" s="90">
        <f t="shared" si="2"/>
        <v>187.2509012</v>
      </c>
      <c r="J222" s="90">
        <f t="shared" si="3"/>
        <v>187.2620369</v>
      </c>
      <c r="K222" s="90">
        <f t="shared" si="4"/>
        <v>1.078502879</v>
      </c>
      <c r="L222" s="90">
        <f t="shared" si="10"/>
        <v>1.057589608</v>
      </c>
      <c r="M222" s="90">
        <f t="shared" si="11"/>
        <v>1.019774467</v>
      </c>
      <c r="N222" s="90">
        <f t="shared" si="5"/>
        <v>14.70060906</v>
      </c>
      <c r="O222" s="90">
        <f t="shared" si="6"/>
        <v>216.1079067</v>
      </c>
    </row>
    <row r="223" ht="14.25" customHeight="1">
      <c r="A223" s="90">
        <v>2.0</v>
      </c>
      <c r="B223" s="90">
        <v>222.0</v>
      </c>
      <c r="C223" s="90">
        <v>203.636292</v>
      </c>
      <c r="D223" s="90">
        <f t="shared" si="7"/>
        <v>199.5896698</v>
      </c>
      <c r="E223" s="90">
        <f t="shared" si="8"/>
        <v>200.0489243</v>
      </c>
      <c r="F223" s="91">
        <f t="shared" si="9"/>
        <v>1.017932452</v>
      </c>
      <c r="G223" s="90">
        <v>1.0018825920928427</v>
      </c>
      <c r="H223" s="90">
        <f t="shared" si="1"/>
        <v>203.2536483</v>
      </c>
      <c r="I223" s="90">
        <f t="shared" si="2"/>
        <v>187.2102586</v>
      </c>
      <c r="J223" s="90">
        <f t="shared" si="3"/>
        <v>187.5626992</v>
      </c>
      <c r="K223" s="90">
        <f t="shared" si="4"/>
        <v>1.085697172</v>
      </c>
      <c r="L223" s="90">
        <f t="shared" si="10"/>
        <v>1.065433266</v>
      </c>
      <c r="M223" s="90">
        <f t="shared" si="11"/>
        <v>1.019019404</v>
      </c>
      <c r="N223" s="90">
        <f t="shared" si="5"/>
        <v>16.0735928</v>
      </c>
      <c r="O223" s="90">
        <f t="shared" si="6"/>
        <v>258.3603856</v>
      </c>
    </row>
    <row r="224" ht="14.25" customHeight="1">
      <c r="A224" s="90">
        <v>3.0</v>
      </c>
      <c r="B224" s="90">
        <v>223.0</v>
      </c>
      <c r="C224" s="90">
        <v>203.45697</v>
      </c>
      <c r="D224" s="90">
        <f t="shared" si="7"/>
        <v>200.5081788</v>
      </c>
      <c r="E224" s="90">
        <f t="shared" si="8"/>
        <v>200.955478</v>
      </c>
      <c r="F224" s="91">
        <f t="shared" si="9"/>
        <v>1.012447991</v>
      </c>
      <c r="G224" s="90">
        <v>0.9988670216408811</v>
      </c>
      <c r="H224" s="90">
        <f t="shared" si="1"/>
        <v>203.6877438</v>
      </c>
      <c r="I224" s="90">
        <f t="shared" si="2"/>
        <v>187.1696161</v>
      </c>
      <c r="J224" s="90">
        <f t="shared" si="3"/>
        <v>186.957557</v>
      </c>
      <c r="K224" s="90">
        <f t="shared" si="4"/>
        <v>1.088252186</v>
      </c>
      <c r="L224" s="90">
        <f t="shared" si="10"/>
        <v>1.070560478</v>
      </c>
      <c r="M224" s="90">
        <f t="shared" si="11"/>
        <v>1.01652565</v>
      </c>
      <c r="N224" s="90">
        <f t="shared" si="5"/>
        <v>16.49941304</v>
      </c>
      <c r="O224" s="90">
        <f t="shared" si="6"/>
        <v>272.2306306</v>
      </c>
    </row>
    <row r="225" ht="14.25" customHeight="1">
      <c r="A225" s="90">
        <v>4.0</v>
      </c>
      <c r="B225" s="90">
        <v>224.0</v>
      </c>
      <c r="C225" s="90">
        <v>199.262909</v>
      </c>
      <c r="D225" s="90">
        <f t="shared" si="7"/>
        <v>201.4027772</v>
      </c>
      <c r="E225" s="90">
        <f t="shared" si="8"/>
        <v>201.6119828</v>
      </c>
      <c r="F225" s="91">
        <f t="shared" si="9"/>
        <v>0.9883485408</v>
      </c>
      <c r="G225" s="90">
        <v>0.99924241874904</v>
      </c>
      <c r="H225" s="90">
        <f t="shared" si="1"/>
        <v>199.4139813</v>
      </c>
      <c r="I225" s="90">
        <f t="shared" si="2"/>
        <v>187.1289735</v>
      </c>
      <c r="J225" s="90">
        <f t="shared" si="3"/>
        <v>186.9872081</v>
      </c>
      <c r="K225" s="90">
        <f t="shared" si="4"/>
        <v>1.06564995</v>
      </c>
      <c r="L225" s="90">
        <f t="shared" si="10"/>
        <v>1.075576373</v>
      </c>
      <c r="M225" s="90">
        <f t="shared" si="11"/>
        <v>0.9907710665</v>
      </c>
      <c r="N225" s="90">
        <f t="shared" si="5"/>
        <v>12.27570088</v>
      </c>
      <c r="O225" s="90">
        <f t="shared" si="6"/>
        <v>150.692832</v>
      </c>
    </row>
    <row r="226" ht="14.25" customHeight="1">
      <c r="A226" s="90">
        <v>5.0</v>
      </c>
      <c r="B226" s="90">
        <v>225.0</v>
      </c>
      <c r="C226" s="90">
        <v>200.478302</v>
      </c>
      <c r="D226" s="90">
        <f t="shared" si="7"/>
        <v>201.8211884</v>
      </c>
      <c r="E226" s="90">
        <f t="shared" si="8"/>
        <v>201.7903061</v>
      </c>
      <c r="F226" s="91">
        <f t="shared" si="9"/>
        <v>0.9934981807</v>
      </c>
      <c r="G226" s="90">
        <v>0.9999484979028709</v>
      </c>
      <c r="H226" s="90">
        <f t="shared" si="1"/>
        <v>200.4886276</v>
      </c>
      <c r="I226" s="90">
        <f t="shared" si="2"/>
        <v>187.088331</v>
      </c>
      <c r="J226" s="90">
        <f t="shared" si="3"/>
        <v>187.0786955</v>
      </c>
      <c r="K226" s="90">
        <f t="shared" si="4"/>
        <v>1.071625507</v>
      </c>
      <c r="L226" s="90">
        <f t="shared" si="10"/>
        <v>1.078042789</v>
      </c>
      <c r="M226" s="90">
        <f t="shared" si="11"/>
        <v>0.9940472847</v>
      </c>
      <c r="N226" s="90">
        <f t="shared" si="5"/>
        <v>13.39960647</v>
      </c>
      <c r="O226" s="90">
        <f t="shared" si="6"/>
        <v>179.5494537</v>
      </c>
    </row>
    <row r="227" ht="14.25" customHeight="1">
      <c r="A227" s="90">
        <v>1.0</v>
      </c>
      <c r="B227" s="90">
        <v>226.0</v>
      </c>
      <c r="C227" s="90">
        <v>202.460754</v>
      </c>
      <c r="D227" s="90">
        <f t="shared" si="7"/>
        <v>201.7594238</v>
      </c>
      <c r="E227" s="90">
        <f t="shared" si="8"/>
        <v>201.8092346</v>
      </c>
      <c r="F227" s="91">
        <f t="shared" si="9"/>
        <v>1.003228392</v>
      </c>
      <c r="G227" s="90">
        <v>1.0000594696143654</v>
      </c>
      <c r="H227" s="90">
        <f t="shared" si="1"/>
        <v>202.4487145</v>
      </c>
      <c r="I227" s="90">
        <f t="shared" si="2"/>
        <v>187.0476884</v>
      </c>
      <c r="J227" s="90">
        <f t="shared" si="3"/>
        <v>187.0588121</v>
      </c>
      <c r="K227" s="90">
        <f t="shared" si="4"/>
        <v>1.082337431</v>
      </c>
      <c r="L227" s="90">
        <f t="shared" si="10"/>
        <v>1.077945539</v>
      </c>
      <c r="M227" s="90">
        <f t="shared" si="11"/>
        <v>1.004074317</v>
      </c>
      <c r="N227" s="90">
        <f t="shared" si="5"/>
        <v>15.40194194</v>
      </c>
      <c r="O227" s="90">
        <f t="shared" si="6"/>
        <v>237.2198155</v>
      </c>
    </row>
    <row r="228" ht="14.25" customHeight="1">
      <c r="A228" s="90">
        <v>2.0</v>
      </c>
      <c r="B228" s="90">
        <v>227.0</v>
      </c>
      <c r="C228" s="90">
        <v>200.986359</v>
      </c>
      <c r="D228" s="90">
        <f t="shared" si="7"/>
        <v>201.8590454</v>
      </c>
      <c r="E228" s="90">
        <f t="shared" si="8"/>
        <v>201.5940521</v>
      </c>
      <c r="F228" s="91">
        <f t="shared" si="9"/>
        <v>0.9969855604</v>
      </c>
      <c r="G228" s="90">
        <v>1.0018825920928427</v>
      </c>
      <c r="H228" s="90">
        <f t="shared" si="1"/>
        <v>200.6086947</v>
      </c>
      <c r="I228" s="90">
        <f t="shared" si="2"/>
        <v>187.0070458</v>
      </c>
      <c r="J228" s="90">
        <f t="shared" si="3"/>
        <v>187.3591038</v>
      </c>
      <c r="K228" s="90">
        <f t="shared" si="4"/>
        <v>1.072733349</v>
      </c>
      <c r="L228" s="90">
        <f t="shared" si="10"/>
        <v>1.078712449</v>
      </c>
      <c r="M228" s="90">
        <f t="shared" si="11"/>
        <v>0.9944571886</v>
      </c>
      <c r="N228" s="90">
        <f t="shared" si="5"/>
        <v>13.62725517</v>
      </c>
      <c r="O228" s="90">
        <f t="shared" si="6"/>
        <v>185.7020833</v>
      </c>
    </row>
    <row r="229" ht="14.25" customHeight="1">
      <c r="A229" s="90">
        <v>3.0</v>
      </c>
      <c r="B229" s="90">
        <v>228.0</v>
      </c>
      <c r="C229" s="90">
        <v>202.530502</v>
      </c>
      <c r="D229" s="90">
        <f t="shared" si="7"/>
        <v>201.3290588</v>
      </c>
      <c r="E229" s="90">
        <f t="shared" si="8"/>
        <v>201.236412</v>
      </c>
      <c r="F229" s="91">
        <f t="shared" si="9"/>
        <v>1.006430695</v>
      </c>
      <c r="G229" s="90">
        <v>0.9988670216408811</v>
      </c>
      <c r="H229" s="90">
        <f t="shared" si="1"/>
        <v>202.7602249</v>
      </c>
      <c r="I229" s="90">
        <f t="shared" si="2"/>
        <v>186.9664033</v>
      </c>
      <c r="J229" s="90">
        <f t="shared" si="3"/>
        <v>186.7545744</v>
      </c>
      <c r="K229" s="90">
        <f t="shared" si="4"/>
        <v>1.084474116</v>
      </c>
      <c r="L229" s="90">
        <f t="shared" si="10"/>
        <v>1.076119685</v>
      </c>
      <c r="M229" s="90">
        <f t="shared" si="11"/>
        <v>1.007763478</v>
      </c>
      <c r="N229" s="90">
        <f t="shared" si="5"/>
        <v>15.7759276</v>
      </c>
      <c r="O229" s="90">
        <f t="shared" si="6"/>
        <v>248.8798916</v>
      </c>
    </row>
    <row r="230" ht="14.25" customHeight="1">
      <c r="A230" s="90">
        <v>4.0</v>
      </c>
      <c r="B230" s="90">
        <v>229.0</v>
      </c>
      <c r="C230" s="90">
        <v>204.433273</v>
      </c>
      <c r="D230" s="90">
        <f t="shared" si="7"/>
        <v>201.1437652</v>
      </c>
      <c r="E230" s="90">
        <f t="shared" si="8"/>
        <v>201.6608016</v>
      </c>
      <c r="F230" s="91">
        <f t="shared" si="9"/>
        <v>1.013748192</v>
      </c>
      <c r="G230" s="90">
        <v>0.99924241874904</v>
      </c>
      <c r="H230" s="90">
        <f t="shared" si="1"/>
        <v>204.5882652</v>
      </c>
      <c r="I230" s="90">
        <f t="shared" si="2"/>
        <v>186.9257607</v>
      </c>
      <c r="J230" s="90">
        <f t="shared" si="3"/>
        <v>186.7841493</v>
      </c>
      <c r="K230" s="90">
        <f t="shared" si="4"/>
        <v>1.094489408</v>
      </c>
      <c r="L230" s="90">
        <f t="shared" si="10"/>
        <v>1.075364071</v>
      </c>
      <c r="M230" s="90">
        <f t="shared" si="11"/>
        <v>1.017784988</v>
      </c>
      <c r="N230" s="90">
        <f t="shared" si="5"/>
        <v>17.64912372</v>
      </c>
      <c r="O230" s="90">
        <f t="shared" si="6"/>
        <v>311.4915681</v>
      </c>
    </row>
    <row r="231" ht="14.25" customHeight="1">
      <c r="A231" s="90">
        <v>5.0</v>
      </c>
      <c r="B231" s="90">
        <v>230.0</v>
      </c>
      <c r="C231" s="90">
        <v>203.725952</v>
      </c>
      <c r="D231" s="90">
        <f t="shared" si="7"/>
        <v>202.177838</v>
      </c>
      <c r="E231" s="90">
        <f t="shared" si="8"/>
        <v>202.502603</v>
      </c>
      <c r="F231" s="91">
        <f t="shared" si="9"/>
        <v>1.006041152</v>
      </c>
      <c r="G231" s="90">
        <v>0.9999484979028709</v>
      </c>
      <c r="H231" s="90">
        <f t="shared" si="1"/>
        <v>203.7364449</v>
      </c>
      <c r="I231" s="90">
        <f t="shared" si="2"/>
        <v>186.8851182</v>
      </c>
      <c r="J231" s="90">
        <f t="shared" si="3"/>
        <v>186.8754932</v>
      </c>
      <c r="K231" s="90">
        <f t="shared" si="4"/>
        <v>1.090169441</v>
      </c>
      <c r="L231" s="90">
        <f t="shared" si="10"/>
        <v>1.081131962</v>
      </c>
      <c r="M231" s="90">
        <f t="shared" si="11"/>
        <v>1.008359275</v>
      </c>
      <c r="N231" s="90">
        <f t="shared" si="5"/>
        <v>16.8504588</v>
      </c>
      <c r="O231" s="90">
        <f t="shared" si="6"/>
        <v>283.9379619</v>
      </c>
    </row>
    <row r="232" ht="14.25" customHeight="1">
      <c r="A232" s="90">
        <v>1.0</v>
      </c>
      <c r="B232" s="90">
        <v>231.0</v>
      </c>
      <c r="C232" s="90">
        <v>202.580307</v>
      </c>
      <c r="D232" s="90">
        <f t="shared" si="7"/>
        <v>202.827368</v>
      </c>
      <c r="E232" s="90">
        <f t="shared" si="8"/>
        <v>202.8393233</v>
      </c>
      <c r="F232" s="91">
        <f t="shared" si="9"/>
        <v>0.9987230469</v>
      </c>
      <c r="G232" s="90">
        <v>1.0000594696143654</v>
      </c>
      <c r="H232" s="90">
        <f t="shared" si="1"/>
        <v>202.5682603</v>
      </c>
      <c r="I232" s="90">
        <f t="shared" si="2"/>
        <v>186.8444756</v>
      </c>
      <c r="J232" s="90">
        <f t="shared" si="3"/>
        <v>186.8555872</v>
      </c>
      <c r="K232" s="90">
        <f t="shared" si="4"/>
        <v>1.0841544</v>
      </c>
      <c r="L232" s="90">
        <f t="shared" si="10"/>
        <v>1.084840749</v>
      </c>
      <c r="M232" s="90">
        <f t="shared" si="11"/>
        <v>0.9993673273</v>
      </c>
      <c r="N232" s="90">
        <f t="shared" si="5"/>
        <v>15.72471982</v>
      </c>
      <c r="O232" s="90">
        <f t="shared" si="6"/>
        <v>247.2668134</v>
      </c>
    </row>
    <row r="233" ht="14.25" customHeight="1">
      <c r="A233" s="90">
        <v>2.0</v>
      </c>
      <c r="B233" s="90">
        <v>232.0</v>
      </c>
      <c r="C233" s="90">
        <v>204.881561</v>
      </c>
      <c r="D233" s="90">
        <f t="shared" si="7"/>
        <v>202.8512786</v>
      </c>
      <c r="E233" s="90">
        <f t="shared" si="8"/>
        <v>203.2407988</v>
      </c>
      <c r="F233" s="91">
        <f t="shared" si="9"/>
        <v>1.008072996</v>
      </c>
      <c r="G233" s="90">
        <v>1.0018825920928427</v>
      </c>
      <c r="H233" s="90">
        <f t="shared" si="1"/>
        <v>204.4965774</v>
      </c>
      <c r="I233" s="90">
        <f t="shared" si="2"/>
        <v>186.8038331</v>
      </c>
      <c r="J233" s="90">
        <f t="shared" si="3"/>
        <v>187.1555085</v>
      </c>
      <c r="K233" s="90">
        <f t="shared" si="4"/>
        <v>1.094712962</v>
      </c>
      <c r="L233" s="90">
        <f t="shared" si="10"/>
        <v>1.085204143</v>
      </c>
      <c r="M233" s="90">
        <f t="shared" si="11"/>
        <v>1.00876224</v>
      </c>
      <c r="N233" s="90">
        <f t="shared" si="5"/>
        <v>17.72605253</v>
      </c>
      <c r="O233" s="90">
        <f t="shared" si="6"/>
        <v>314.2129382</v>
      </c>
    </row>
    <row r="234" ht="14.25" customHeight="1">
      <c r="A234" s="90">
        <v>3.0</v>
      </c>
      <c r="B234" s="90">
        <v>233.0</v>
      </c>
      <c r="C234" s="90">
        <v>201.823181</v>
      </c>
      <c r="D234" s="90">
        <f t="shared" si="7"/>
        <v>203.630319</v>
      </c>
      <c r="E234" s="90">
        <f t="shared" si="8"/>
        <v>203.5595869</v>
      </c>
      <c r="F234" s="91">
        <f t="shared" si="9"/>
        <v>0.9914697906</v>
      </c>
      <c r="G234" s="90">
        <v>0.9988670216408811</v>
      </c>
      <c r="H234" s="90">
        <f t="shared" si="1"/>
        <v>202.0521017</v>
      </c>
      <c r="I234" s="90">
        <f t="shared" si="2"/>
        <v>186.7631905</v>
      </c>
      <c r="J234" s="90">
        <f t="shared" si="3"/>
        <v>186.5515918</v>
      </c>
      <c r="K234" s="90">
        <f t="shared" si="4"/>
        <v>1.081862551</v>
      </c>
      <c r="L234" s="90">
        <f t="shared" si="10"/>
        <v>1.089600065</v>
      </c>
      <c r="M234" s="90">
        <f t="shared" si="11"/>
        <v>0.9928987571</v>
      </c>
      <c r="N234" s="90">
        <f t="shared" si="5"/>
        <v>15.27158916</v>
      </c>
      <c r="O234" s="90">
        <f t="shared" si="6"/>
        <v>233.2214354</v>
      </c>
    </row>
    <row r="235" ht="14.25" customHeight="1">
      <c r="A235" s="90">
        <v>4.0</v>
      </c>
      <c r="B235" s="90">
        <v>234.0</v>
      </c>
      <c r="C235" s="90">
        <v>206.435654</v>
      </c>
      <c r="D235" s="90">
        <f t="shared" si="7"/>
        <v>203.4888548</v>
      </c>
      <c r="E235" s="90">
        <f t="shared" si="8"/>
        <v>203.6890929</v>
      </c>
      <c r="F235" s="91">
        <f t="shared" si="9"/>
        <v>1.013484085</v>
      </c>
      <c r="G235" s="90">
        <v>0.99924241874904</v>
      </c>
      <c r="H235" s="90">
        <f t="shared" si="1"/>
        <v>206.5921644</v>
      </c>
      <c r="I235" s="90">
        <f t="shared" si="2"/>
        <v>186.7225479</v>
      </c>
      <c r="J235" s="90">
        <f t="shared" si="3"/>
        <v>186.5810904</v>
      </c>
      <c r="K235" s="90">
        <f t="shared" si="4"/>
        <v>1.106412518</v>
      </c>
      <c r="L235" s="90">
        <f t="shared" si="10"/>
        <v>1.089077752</v>
      </c>
      <c r="M235" s="90">
        <f t="shared" si="11"/>
        <v>1.015916922</v>
      </c>
      <c r="N235" s="90">
        <f t="shared" si="5"/>
        <v>19.85456357</v>
      </c>
      <c r="O235" s="90">
        <f t="shared" si="6"/>
        <v>394.2036944</v>
      </c>
    </row>
    <row r="236" ht="14.25" customHeight="1">
      <c r="A236" s="90">
        <v>5.0</v>
      </c>
      <c r="B236" s="90">
        <v>235.0</v>
      </c>
      <c r="C236" s="90">
        <v>208.049515</v>
      </c>
      <c r="D236" s="90">
        <f t="shared" si="7"/>
        <v>203.889331</v>
      </c>
      <c r="E236" s="90">
        <f t="shared" si="8"/>
        <v>204.3216873</v>
      </c>
      <c r="F236" s="91">
        <f t="shared" si="9"/>
        <v>1.018244895</v>
      </c>
      <c r="G236" s="90">
        <v>0.9999484979028709</v>
      </c>
      <c r="H236" s="90">
        <f t="shared" si="1"/>
        <v>208.0602305</v>
      </c>
      <c r="I236" s="90">
        <f t="shared" si="2"/>
        <v>186.6819054</v>
      </c>
      <c r="J236" s="90">
        <f t="shared" si="3"/>
        <v>186.6722909</v>
      </c>
      <c r="K236" s="90">
        <f t="shared" si="4"/>
        <v>1.114517393</v>
      </c>
      <c r="L236" s="90">
        <f t="shared" si="10"/>
        <v>1.091462374</v>
      </c>
      <c r="M236" s="90">
        <f t="shared" si="11"/>
        <v>1.021123054</v>
      </c>
      <c r="N236" s="90">
        <f t="shared" si="5"/>
        <v>21.37722413</v>
      </c>
      <c r="O236" s="90">
        <f t="shared" si="6"/>
        <v>456.9857117</v>
      </c>
    </row>
    <row r="237" ht="14.25" customHeight="1">
      <c r="A237" s="90">
        <v>1.0</v>
      </c>
      <c r="B237" s="90">
        <v>236.0</v>
      </c>
      <c r="C237" s="90">
        <v>207.880173</v>
      </c>
      <c r="D237" s="90">
        <f t="shared" si="7"/>
        <v>204.7540436</v>
      </c>
      <c r="E237" s="90">
        <f t="shared" si="8"/>
        <v>205.2840302</v>
      </c>
      <c r="F237" s="91">
        <f t="shared" si="9"/>
        <v>1.012646589</v>
      </c>
      <c r="G237" s="90">
        <v>1.0000594696143654</v>
      </c>
      <c r="H237" s="90">
        <f t="shared" si="1"/>
        <v>207.8678112</v>
      </c>
      <c r="I237" s="90">
        <f t="shared" si="2"/>
        <v>186.6412628</v>
      </c>
      <c r="J237" s="90">
        <f t="shared" si="3"/>
        <v>186.6523623</v>
      </c>
      <c r="K237" s="90">
        <f t="shared" si="4"/>
        <v>1.11372913</v>
      </c>
      <c r="L237" s="90">
        <f t="shared" si="10"/>
        <v>1.096331965</v>
      </c>
      <c r="M237" s="90">
        <f t="shared" si="11"/>
        <v>1.015868519</v>
      </c>
      <c r="N237" s="90">
        <f t="shared" si="5"/>
        <v>21.2278107</v>
      </c>
      <c r="O237" s="90">
        <f t="shared" si="6"/>
        <v>450.6199471</v>
      </c>
    </row>
    <row r="238" ht="14.25" customHeight="1">
      <c r="A238" s="90">
        <v>2.0</v>
      </c>
      <c r="B238" s="90">
        <v>237.0</v>
      </c>
      <c r="C238" s="90">
        <v>206.23642</v>
      </c>
      <c r="D238" s="90">
        <f t="shared" si="7"/>
        <v>205.8140168</v>
      </c>
      <c r="E238" s="90">
        <f t="shared" si="8"/>
        <v>205.9495027</v>
      </c>
      <c r="F238" s="91">
        <f t="shared" si="9"/>
        <v>1.001393144</v>
      </c>
      <c r="G238" s="90">
        <v>1.0018825920928427</v>
      </c>
      <c r="H238" s="90">
        <f t="shared" si="1"/>
        <v>205.8488905</v>
      </c>
      <c r="I238" s="90">
        <f t="shared" si="2"/>
        <v>186.6006203</v>
      </c>
      <c r="J238" s="90">
        <f t="shared" si="3"/>
        <v>186.9519131</v>
      </c>
      <c r="K238" s="90">
        <f t="shared" si="4"/>
        <v>1.103152231</v>
      </c>
      <c r="L238" s="90">
        <f t="shared" si="10"/>
        <v>1.102246911</v>
      </c>
      <c r="M238" s="90">
        <f t="shared" si="11"/>
        <v>1.000821341</v>
      </c>
      <c r="N238" s="90">
        <f t="shared" si="5"/>
        <v>19.28450689</v>
      </c>
      <c r="O238" s="90">
        <f t="shared" si="6"/>
        <v>371.892206</v>
      </c>
    </row>
    <row r="239" ht="14.25" customHeight="1">
      <c r="A239" s="90">
        <v>3.0</v>
      </c>
      <c r="B239" s="90">
        <v>238.0</v>
      </c>
      <c r="C239" s="90">
        <v>206.95369</v>
      </c>
      <c r="D239" s="90">
        <f t="shared" si="7"/>
        <v>206.0849886</v>
      </c>
      <c r="E239" s="90">
        <f t="shared" si="8"/>
        <v>206.5980395</v>
      </c>
      <c r="F239" s="91">
        <f t="shared" si="9"/>
        <v>1.001721461</v>
      </c>
      <c r="G239" s="90">
        <v>0.9988670216408811</v>
      </c>
      <c r="H239" s="90">
        <f t="shared" si="1"/>
        <v>207.18843</v>
      </c>
      <c r="I239" s="90">
        <f t="shared" si="2"/>
        <v>186.5599777</v>
      </c>
      <c r="J239" s="90">
        <f t="shared" si="3"/>
        <v>186.3486093</v>
      </c>
      <c r="K239" s="90">
        <f t="shared" si="4"/>
        <v>1.110572764</v>
      </c>
      <c r="L239" s="90">
        <f t="shared" si="10"/>
        <v>1.103934764</v>
      </c>
      <c r="M239" s="90">
        <f t="shared" si="11"/>
        <v>1.006013036</v>
      </c>
      <c r="N239" s="90">
        <f t="shared" si="5"/>
        <v>20.60508072</v>
      </c>
      <c r="O239" s="90">
        <f t="shared" si="6"/>
        <v>424.5693514</v>
      </c>
    </row>
    <row r="240" ht="14.25" customHeight="1">
      <c r="A240" s="90">
        <v>4.0</v>
      </c>
      <c r="B240" s="90">
        <v>239.0</v>
      </c>
      <c r="C240" s="90">
        <v>208.886337</v>
      </c>
      <c r="D240" s="90">
        <f t="shared" si="7"/>
        <v>207.1110904</v>
      </c>
      <c r="E240" s="90">
        <f t="shared" si="8"/>
        <v>207.3561587</v>
      </c>
      <c r="F240" s="91">
        <f t="shared" si="9"/>
        <v>1.007379469</v>
      </c>
      <c r="G240" s="90">
        <v>0.99924241874904</v>
      </c>
      <c r="H240" s="90">
        <f t="shared" si="1"/>
        <v>209.0447053</v>
      </c>
      <c r="I240" s="90">
        <f t="shared" si="2"/>
        <v>186.5193351</v>
      </c>
      <c r="J240" s="90">
        <f t="shared" si="3"/>
        <v>186.3780316</v>
      </c>
      <c r="K240" s="90">
        <f t="shared" si="4"/>
        <v>1.120766945</v>
      </c>
      <c r="L240" s="90">
        <f t="shared" si="10"/>
        <v>1.109676807</v>
      </c>
      <c r="M240" s="90">
        <f t="shared" si="11"/>
        <v>1.009994025</v>
      </c>
      <c r="N240" s="90">
        <f t="shared" si="5"/>
        <v>22.50830541</v>
      </c>
      <c r="O240" s="90">
        <f t="shared" si="6"/>
        <v>506.6238125</v>
      </c>
    </row>
    <row r="241" ht="14.25" customHeight="1">
      <c r="A241" s="90">
        <v>5.0</v>
      </c>
      <c r="B241" s="90">
        <v>240.0</v>
      </c>
      <c r="C241" s="90">
        <v>207.989746</v>
      </c>
      <c r="D241" s="90">
        <f t="shared" si="7"/>
        <v>207.601227</v>
      </c>
      <c r="E241" s="90">
        <f t="shared" si="8"/>
        <v>207.5952501</v>
      </c>
      <c r="F241" s="91">
        <f t="shared" si="9"/>
        <v>1.001900313</v>
      </c>
      <c r="G241" s="90">
        <v>0.9999484979028709</v>
      </c>
      <c r="H241" s="90">
        <f t="shared" si="1"/>
        <v>208.0004585</v>
      </c>
      <c r="I241" s="90">
        <f t="shared" si="2"/>
        <v>186.4786926</v>
      </c>
      <c r="J241" s="90">
        <f t="shared" si="3"/>
        <v>186.4690885</v>
      </c>
      <c r="K241" s="90">
        <f t="shared" si="4"/>
        <v>1.115411394</v>
      </c>
      <c r="L241" s="90">
        <f t="shared" si="10"/>
        <v>1.112547692</v>
      </c>
      <c r="M241" s="90">
        <f t="shared" si="11"/>
        <v>1.002574004</v>
      </c>
      <c r="N241" s="90">
        <f t="shared" si="5"/>
        <v>21.52065746</v>
      </c>
      <c r="O241" s="90">
        <f t="shared" si="6"/>
        <v>463.1386977</v>
      </c>
    </row>
    <row r="242" ht="14.25" customHeight="1">
      <c r="A242" s="90">
        <v>1.0</v>
      </c>
      <c r="B242" s="90">
        <v>241.0</v>
      </c>
      <c r="C242" s="90">
        <v>212.233627</v>
      </c>
      <c r="D242" s="90">
        <f t="shared" si="7"/>
        <v>207.5892732</v>
      </c>
      <c r="E242" s="90">
        <f t="shared" si="8"/>
        <v>208.0246186</v>
      </c>
      <c r="F242" s="91">
        <f t="shared" si="9"/>
        <v>1.020233223</v>
      </c>
      <c r="G242" s="90">
        <v>1.0000594696143654</v>
      </c>
      <c r="H242" s="90">
        <f t="shared" si="1"/>
        <v>212.2210063</v>
      </c>
      <c r="I242" s="90">
        <f t="shared" si="2"/>
        <v>186.43805</v>
      </c>
      <c r="J242" s="90">
        <f t="shared" si="3"/>
        <v>186.4491374</v>
      </c>
      <c r="K242" s="90">
        <f t="shared" si="4"/>
        <v>1.138292351</v>
      </c>
      <c r="L242" s="90">
        <f t="shared" si="10"/>
        <v>1.112726493</v>
      </c>
      <c r="M242" s="90">
        <f t="shared" si="11"/>
        <v>1.022975869</v>
      </c>
      <c r="N242" s="90">
        <f t="shared" si="5"/>
        <v>25.78448958</v>
      </c>
      <c r="O242" s="90">
        <f t="shared" si="6"/>
        <v>664.8399029</v>
      </c>
    </row>
    <row r="243" ht="14.25" customHeight="1">
      <c r="A243" s="90">
        <v>2.0</v>
      </c>
      <c r="B243" s="90">
        <v>242.0</v>
      </c>
      <c r="C243" s="90">
        <v>207.641068</v>
      </c>
      <c r="D243" s="90">
        <f t="shared" si="7"/>
        <v>208.459964</v>
      </c>
      <c r="E243" s="90">
        <f t="shared" si="8"/>
        <v>208.6004288</v>
      </c>
      <c r="F243" s="91">
        <f t="shared" si="9"/>
        <v>0.9954009644</v>
      </c>
      <c r="G243" s="90">
        <v>1.0018825920928427</v>
      </c>
      <c r="H243" s="90">
        <f t="shared" si="1"/>
        <v>207.2508991</v>
      </c>
      <c r="I243" s="90">
        <f t="shared" si="2"/>
        <v>186.3974075</v>
      </c>
      <c r="J243" s="90">
        <f t="shared" si="3"/>
        <v>186.7483177</v>
      </c>
      <c r="K243" s="90">
        <f t="shared" si="4"/>
        <v>1.111876511</v>
      </c>
      <c r="L243" s="90">
        <f t="shared" si="10"/>
        <v>1.117639137</v>
      </c>
      <c r="M243" s="90">
        <f t="shared" si="11"/>
        <v>0.9948439299</v>
      </c>
      <c r="N243" s="90">
        <f t="shared" si="5"/>
        <v>20.89275025</v>
      </c>
      <c r="O243" s="90">
        <f t="shared" si="6"/>
        <v>436.5070131</v>
      </c>
    </row>
    <row r="244" ht="14.25" customHeight="1">
      <c r="A244" s="90">
        <v>3.0</v>
      </c>
      <c r="B244" s="90">
        <v>243.0</v>
      </c>
      <c r="C244" s="90">
        <v>203.247772</v>
      </c>
      <c r="D244" s="90">
        <f t="shared" si="7"/>
        <v>208.7408936</v>
      </c>
      <c r="E244" s="90">
        <f t="shared" si="8"/>
        <v>208.3703018</v>
      </c>
      <c r="F244" s="91">
        <f t="shared" si="9"/>
        <v>0.9754162193</v>
      </c>
      <c r="G244" s="90">
        <v>0.9988670216408811</v>
      </c>
      <c r="H244" s="90">
        <f t="shared" si="1"/>
        <v>203.4783085</v>
      </c>
      <c r="I244" s="90">
        <f t="shared" si="2"/>
        <v>186.3567649</v>
      </c>
      <c r="J244" s="90">
        <f t="shared" si="3"/>
        <v>186.1456267</v>
      </c>
      <c r="K244" s="90">
        <f t="shared" si="4"/>
        <v>1.091875085</v>
      </c>
      <c r="L244" s="90">
        <f t="shared" si="10"/>
        <v>1.119383993</v>
      </c>
      <c r="M244" s="90">
        <f t="shared" si="11"/>
        <v>0.9754249587</v>
      </c>
      <c r="N244" s="90">
        <f t="shared" si="5"/>
        <v>17.10214528</v>
      </c>
      <c r="O244" s="90">
        <f t="shared" si="6"/>
        <v>292.4833731</v>
      </c>
    </row>
    <row r="245" ht="14.25" customHeight="1">
      <c r="A245" s="90">
        <v>4.0</v>
      </c>
      <c r="B245" s="90">
        <v>244.0</v>
      </c>
      <c r="C245" s="90">
        <v>192.608185</v>
      </c>
      <c r="D245" s="90">
        <f t="shared" si="7"/>
        <v>207.99971</v>
      </c>
      <c r="E245" s="90">
        <f t="shared" si="8"/>
        <v>206.3718948</v>
      </c>
      <c r="F245" s="91">
        <f t="shared" si="9"/>
        <v>0.9333062779</v>
      </c>
      <c r="G245" s="90">
        <v>0.99924241874904</v>
      </c>
      <c r="H245" s="90">
        <f t="shared" si="1"/>
        <v>192.754212</v>
      </c>
      <c r="I245" s="90">
        <f t="shared" si="2"/>
        <v>186.3161223</v>
      </c>
      <c r="J245" s="90">
        <f t="shared" si="3"/>
        <v>186.1749727</v>
      </c>
      <c r="K245" s="90">
        <f t="shared" si="4"/>
        <v>1.034554657</v>
      </c>
      <c r="L245" s="90">
        <f t="shared" si="10"/>
        <v>1.115644457</v>
      </c>
      <c r="M245" s="90">
        <f t="shared" si="11"/>
        <v>0.9273157321</v>
      </c>
      <c r="N245" s="90">
        <f t="shared" si="5"/>
        <v>6.433212257</v>
      </c>
      <c r="O245" s="90">
        <f t="shared" si="6"/>
        <v>41.38621995</v>
      </c>
    </row>
    <row r="246" ht="14.25" customHeight="1">
      <c r="A246" s="90">
        <v>5.0</v>
      </c>
      <c r="B246" s="90">
        <v>245.0</v>
      </c>
      <c r="C246" s="90">
        <v>196.254333</v>
      </c>
      <c r="D246" s="90">
        <f t="shared" si="7"/>
        <v>204.7440796</v>
      </c>
      <c r="E246" s="90">
        <f t="shared" si="8"/>
        <v>203.5705383</v>
      </c>
      <c r="F246" s="91">
        <f t="shared" si="9"/>
        <v>0.9640605887</v>
      </c>
      <c r="G246" s="90">
        <v>0.9999484979028709</v>
      </c>
      <c r="H246" s="90">
        <f t="shared" si="1"/>
        <v>196.264441</v>
      </c>
      <c r="I246" s="90">
        <f t="shared" si="2"/>
        <v>186.2754798</v>
      </c>
      <c r="J246" s="90">
        <f t="shared" si="3"/>
        <v>186.2658862</v>
      </c>
      <c r="K246" s="90">
        <f t="shared" si="4"/>
        <v>1.053624671</v>
      </c>
      <c r="L246" s="90">
        <f t="shared" si="10"/>
        <v>1.098402</v>
      </c>
      <c r="M246" s="90">
        <f t="shared" si="11"/>
        <v>0.9592341155</v>
      </c>
      <c r="N246" s="90">
        <f t="shared" si="5"/>
        <v>9.988446793</v>
      </c>
      <c r="O246" s="90">
        <f t="shared" si="6"/>
        <v>99.76906934</v>
      </c>
    </row>
    <row r="247" ht="14.25" customHeight="1">
      <c r="A247" s="90">
        <v>1.0</v>
      </c>
      <c r="B247" s="90">
        <v>246.0</v>
      </c>
      <c r="C247" s="90">
        <v>198.286606</v>
      </c>
      <c r="D247" s="90">
        <f t="shared" si="7"/>
        <v>202.396997</v>
      </c>
      <c r="E247" s="90">
        <f t="shared" si="8"/>
        <v>201.0022949</v>
      </c>
      <c r="F247" s="91">
        <f t="shared" si="9"/>
        <v>0.9864892642</v>
      </c>
      <c r="G247" s="90">
        <v>1.0000594696143654</v>
      </c>
      <c r="H247" s="90">
        <f t="shared" si="1"/>
        <v>198.2748147</v>
      </c>
      <c r="I247" s="90">
        <f t="shared" si="2"/>
        <v>186.2348372</v>
      </c>
      <c r="J247" s="90">
        <f t="shared" si="3"/>
        <v>186.2459125</v>
      </c>
      <c r="K247" s="90">
        <f t="shared" si="4"/>
        <v>1.064649437</v>
      </c>
      <c r="L247" s="90">
        <f t="shared" si="10"/>
        <v>1.086044655</v>
      </c>
      <c r="M247" s="90">
        <f t="shared" si="11"/>
        <v>0.9802998731</v>
      </c>
      <c r="N247" s="90">
        <f t="shared" si="5"/>
        <v>12.04069346</v>
      </c>
      <c r="O247" s="90">
        <f t="shared" si="6"/>
        <v>144.978299</v>
      </c>
    </row>
    <row r="248" ht="14.25" customHeight="1">
      <c r="A248" s="90">
        <v>2.0</v>
      </c>
      <c r="B248" s="90">
        <v>247.0</v>
      </c>
      <c r="C248" s="90">
        <v>202.659988</v>
      </c>
      <c r="D248" s="90">
        <f t="shared" si="7"/>
        <v>199.6075928</v>
      </c>
      <c r="E248" s="90">
        <f t="shared" si="8"/>
        <v>199.1094848</v>
      </c>
      <c r="F248" s="91">
        <f t="shared" si="9"/>
        <v>1.017831914</v>
      </c>
      <c r="G248" s="90">
        <v>1.0018825920928427</v>
      </c>
      <c r="H248" s="90">
        <f t="shared" si="1"/>
        <v>202.2791788</v>
      </c>
      <c r="I248" s="90">
        <f t="shared" si="2"/>
        <v>186.1941947</v>
      </c>
      <c r="J248" s="90">
        <f t="shared" si="3"/>
        <v>186.5447224</v>
      </c>
      <c r="K248" s="90">
        <f t="shared" si="4"/>
        <v>1.086388215</v>
      </c>
      <c r="L248" s="90">
        <f t="shared" si="10"/>
        <v>1.071316072</v>
      </c>
      <c r="M248" s="90">
        <f t="shared" si="11"/>
        <v>1.014068811</v>
      </c>
      <c r="N248" s="90">
        <f t="shared" si="5"/>
        <v>16.11526561</v>
      </c>
      <c r="O248" s="90">
        <f t="shared" si="6"/>
        <v>259.7017858</v>
      </c>
    </row>
    <row r="249" ht="14.25" customHeight="1">
      <c r="A249" s="90">
        <v>3.0</v>
      </c>
      <c r="B249" s="90">
        <v>248.0</v>
      </c>
      <c r="C249" s="90">
        <v>200.990005</v>
      </c>
      <c r="D249" s="90">
        <f t="shared" si="7"/>
        <v>198.6113768</v>
      </c>
      <c r="E249" s="90">
        <f t="shared" si="8"/>
        <v>198.3856001</v>
      </c>
      <c r="F249" s="91">
        <f t="shared" si="9"/>
        <v>1.013127994</v>
      </c>
      <c r="G249" s="90">
        <v>0.9988670216408811</v>
      </c>
      <c r="H249" s="90">
        <f t="shared" si="1"/>
        <v>201.2179806</v>
      </c>
      <c r="I249" s="90">
        <f t="shared" si="2"/>
        <v>186.1535521</v>
      </c>
      <c r="J249" s="90">
        <f t="shared" si="3"/>
        <v>185.9426442</v>
      </c>
      <c r="K249" s="90">
        <f t="shared" si="4"/>
        <v>1.080924744</v>
      </c>
      <c r="L249" s="90">
        <f t="shared" si="10"/>
        <v>1.066218413</v>
      </c>
      <c r="M249" s="90">
        <f t="shared" si="11"/>
        <v>1.013792981</v>
      </c>
      <c r="N249" s="90">
        <f t="shared" si="5"/>
        <v>15.04736084</v>
      </c>
      <c r="O249" s="90">
        <f t="shared" si="6"/>
        <v>226.4230682</v>
      </c>
    </row>
    <row r="250" ht="14.25" customHeight="1">
      <c r="A250" s="90">
        <v>4.0</v>
      </c>
      <c r="B250" s="90">
        <v>249.0</v>
      </c>
      <c r="C250" s="90">
        <v>200.479996</v>
      </c>
      <c r="D250" s="90">
        <f t="shared" si="7"/>
        <v>198.1598234</v>
      </c>
      <c r="E250" s="90">
        <f t="shared" si="8"/>
        <v>198.9470045</v>
      </c>
      <c r="F250" s="91">
        <f t="shared" si="9"/>
        <v>1.007705527</v>
      </c>
      <c r="G250" s="90">
        <v>0.99924241874904</v>
      </c>
      <c r="H250" s="90">
        <f t="shared" si="1"/>
        <v>200.631991</v>
      </c>
      <c r="I250" s="90">
        <f t="shared" si="2"/>
        <v>186.1129095</v>
      </c>
      <c r="J250" s="90">
        <f t="shared" si="3"/>
        <v>185.9719139</v>
      </c>
      <c r="K250" s="90">
        <f t="shared" si="4"/>
        <v>1.078012221</v>
      </c>
      <c r="L250" s="90">
        <f t="shared" si="10"/>
        <v>1.064028345</v>
      </c>
      <c r="M250" s="90">
        <f t="shared" si="11"/>
        <v>1.013142391</v>
      </c>
      <c r="N250" s="90">
        <f t="shared" si="5"/>
        <v>14.5080821</v>
      </c>
      <c r="O250" s="90">
        <f t="shared" si="6"/>
        <v>210.4844463</v>
      </c>
    </row>
    <row r="251" ht="14.25" customHeight="1">
      <c r="A251" s="90">
        <v>5.0</v>
      </c>
      <c r="B251" s="90">
        <v>250.0</v>
      </c>
      <c r="C251" s="90">
        <v>208.970001</v>
      </c>
      <c r="D251" s="90">
        <f t="shared" si="7"/>
        <v>199.7341856</v>
      </c>
      <c r="E251" s="90">
        <f t="shared" si="8"/>
        <v>201.0057524</v>
      </c>
      <c r="F251" s="91">
        <f t="shared" si="9"/>
        <v>1.039621993</v>
      </c>
      <c r="G251" s="90">
        <v>0.9999484979028709</v>
      </c>
      <c r="H251" s="90">
        <f t="shared" si="1"/>
        <v>208.9807639</v>
      </c>
      <c r="I251" s="90">
        <f t="shared" si="2"/>
        <v>186.072267</v>
      </c>
      <c r="J251" s="90">
        <f t="shared" si="3"/>
        <v>186.0626839</v>
      </c>
      <c r="K251" s="90">
        <f t="shared" si="4"/>
        <v>1.123116128</v>
      </c>
      <c r="L251" s="90">
        <f t="shared" si="10"/>
        <v>1.072719858</v>
      </c>
      <c r="M251" s="90">
        <f t="shared" si="11"/>
        <v>1.046979898</v>
      </c>
      <c r="N251" s="90">
        <f t="shared" si="5"/>
        <v>22.90731712</v>
      </c>
      <c r="O251" s="90">
        <f t="shared" si="6"/>
        <v>524.7451778</v>
      </c>
    </row>
    <row r="252" ht="14.25" customHeight="1">
      <c r="A252" s="90">
        <v>1.0</v>
      </c>
      <c r="B252" s="90">
        <v>251.0</v>
      </c>
      <c r="C252" s="90">
        <v>202.75</v>
      </c>
      <c r="D252" s="90">
        <f t="shared" si="7"/>
        <v>202.2773192</v>
      </c>
      <c r="E252" s="90" t="str">
        <f>AVERAGE(K253)</f>
        <v>#DIV/0!</v>
      </c>
      <c r="F252" s="91" t="str">
        <f t="shared" si="9"/>
        <v>#DIV/0!</v>
      </c>
      <c r="G252" s="90">
        <v>1.0000594696143654</v>
      </c>
      <c r="H252" s="90">
        <f t="shared" si="1"/>
        <v>202.7379433</v>
      </c>
      <c r="I252" s="90">
        <f t="shared" si="2"/>
        <v>186.0316244</v>
      </c>
      <c r="J252" s="90">
        <f t="shared" si="3"/>
        <v>186.0426877</v>
      </c>
      <c r="K252" s="90">
        <f t="shared" si="4"/>
        <v>1.08980365</v>
      </c>
      <c r="L252" s="90">
        <f t="shared" si="10"/>
        <v>1.086618149</v>
      </c>
      <c r="M252" s="90">
        <f t="shared" si="11"/>
        <v>1.002931573</v>
      </c>
      <c r="N252" s="90">
        <f t="shared" si="5"/>
        <v>16.70731234</v>
      </c>
      <c r="O252" s="90">
        <f t="shared" si="6"/>
        <v>279.1342857</v>
      </c>
    </row>
    <row r="253" ht="14.25" customHeight="1"/>
    <row r="254" ht="31.5" customHeight="1">
      <c r="A254" s="93" t="s">
        <v>34</v>
      </c>
      <c r="B254" s="94" t="s">
        <v>25</v>
      </c>
      <c r="C254" s="94" t="s">
        <v>26</v>
      </c>
      <c r="D254" s="95"/>
      <c r="E254" s="96"/>
      <c r="F254" s="96" t="s">
        <v>27</v>
      </c>
    </row>
    <row r="255" ht="14.25" customHeight="1">
      <c r="A255" s="93">
        <v>1.0</v>
      </c>
      <c r="B255" s="93" t="str">
        <f>AVERAGEIF(A2:A252,A255,F7:F252)</f>
        <v>#DIV/0!</v>
      </c>
      <c r="C255" s="93">
        <v>1.0000594696143654</v>
      </c>
      <c r="E255" s="97" t="s">
        <v>28</v>
      </c>
      <c r="F255" s="97">
        <v>196.23290676833477</v>
      </c>
    </row>
    <row r="256" ht="14.25" customHeight="1">
      <c r="A256" s="93">
        <v>2.0</v>
      </c>
      <c r="B256" s="93">
        <f>AVERAGEIF(A2:A252,A256,F7:F252)</f>
        <v>1.001623196</v>
      </c>
      <c r="C256" s="93">
        <v>1.0018825920928427</v>
      </c>
      <c r="E256" s="98" t="s">
        <v>29</v>
      </c>
      <c r="F256" s="98">
        <v>-0.04064255911695447</v>
      </c>
    </row>
    <row r="257" ht="14.25" customHeight="1">
      <c r="A257" s="93">
        <v>3.0</v>
      </c>
      <c r="B257" s="93">
        <f>AVERAGEIF(A2:A252,A257,F7:F252)</f>
        <v>0.9986084063</v>
      </c>
      <c r="C257" s="93">
        <v>0.9988670216408811</v>
      </c>
    </row>
    <row r="258" ht="14.25" customHeight="1">
      <c r="A258" s="93">
        <v>4.0</v>
      </c>
      <c r="B258" s="93">
        <f>AVERAGEIF(A2:A252,A258,F7:F252)</f>
        <v>4.903662167</v>
      </c>
      <c r="C258" s="93">
        <v>0.99924241874904</v>
      </c>
    </row>
    <row r="259" ht="14.25" customHeight="1">
      <c r="A259" s="93">
        <v>5.0</v>
      </c>
      <c r="B259" s="93">
        <f>AVERAGEIF(A2:A252,A259,F7:F252)</f>
        <v>0.9788829593</v>
      </c>
      <c r="C259" s="93">
        <v>0.9999484979028709</v>
      </c>
      <c r="E259" s="99" t="s">
        <v>30</v>
      </c>
      <c r="F259" s="99">
        <f>SUM(O2:O252)/251</f>
        <v>446.119363</v>
      </c>
    </row>
    <row r="260" ht="14.25" customHeight="1">
      <c r="A260" s="93" t="s">
        <v>23</v>
      </c>
      <c r="B260" s="93" t="str">
        <f t="shared" ref="B260:C260" si="12">SUM(B255:B259)</f>
        <v>#DIV/0!</v>
      </c>
      <c r="C260" s="93">
        <f t="shared" si="12"/>
        <v>5</v>
      </c>
    </row>
    <row r="261" ht="14.25" customHeight="1">
      <c r="A261" s="93" t="s">
        <v>31</v>
      </c>
      <c r="B261" s="93" t="str">
        <f t="shared" ref="B261:C261" si="13">AVERAGE(B255:B259)</f>
        <v>#DIV/0!</v>
      </c>
      <c r="C261" s="93">
        <f t="shared" si="13"/>
        <v>1</v>
      </c>
    </row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97" t="s">
        <v>35</v>
      </c>
    </row>
    <row r="2" ht="14.25" customHeight="1"/>
    <row r="3" ht="14.25" customHeight="1">
      <c r="A3" s="96" t="s">
        <v>36</v>
      </c>
      <c r="B3" s="100"/>
    </row>
    <row r="4" ht="14.25" customHeight="1">
      <c r="A4" s="97" t="s">
        <v>37</v>
      </c>
      <c r="B4" s="97">
        <v>0.1380864774745744</v>
      </c>
    </row>
    <row r="5" ht="14.25" customHeight="1">
      <c r="A5" s="97" t="s">
        <v>38</v>
      </c>
      <c r="B5" s="97">
        <v>0.019067875261336138</v>
      </c>
    </row>
    <row r="6" ht="14.25" customHeight="1">
      <c r="A6" s="97" t="s">
        <v>39</v>
      </c>
      <c r="B6" s="97">
        <v>0.015128388816602547</v>
      </c>
    </row>
    <row r="7" ht="14.25" customHeight="1">
      <c r="A7" s="97" t="s">
        <v>40</v>
      </c>
      <c r="B7" s="97">
        <v>21.206364050910025</v>
      </c>
    </row>
    <row r="8" ht="14.25" customHeight="1">
      <c r="A8" s="98" t="s">
        <v>41</v>
      </c>
      <c r="B8" s="98">
        <v>251.0</v>
      </c>
    </row>
    <row r="9" ht="14.25" customHeight="1"/>
    <row r="10" ht="14.25" customHeight="1">
      <c r="A10" s="97" t="s">
        <v>42</v>
      </c>
    </row>
    <row r="11" ht="14.25" customHeight="1">
      <c r="A11" s="96"/>
      <c r="B11" s="96" t="s">
        <v>43</v>
      </c>
      <c r="C11" s="96" t="s">
        <v>44</v>
      </c>
      <c r="D11" s="96" t="s">
        <v>45</v>
      </c>
      <c r="E11" s="96" t="s">
        <v>46</v>
      </c>
      <c r="F11" s="96" t="s">
        <v>47</v>
      </c>
    </row>
    <row r="12" ht="14.25" customHeight="1">
      <c r="A12" s="97" t="s">
        <v>48</v>
      </c>
      <c r="B12" s="97">
        <v>1.0</v>
      </c>
      <c r="C12" s="97">
        <v>2176.6826576531894</v>
      </c>
      <c r="D12" s="97">
        <v>2176.6826576531894</v>
      </c>
      <c r="E12" s="97">
        <v>4.840193139089635</v>
      </c>
      <c r="F12" s="97">
        <v>0.02872281981181309</v>
      </c>
    </row>
    <row r="13" ht="14.25" customHeight="1">
      <c r="A13" s="97" t="s">
        <v>49</v>
      </c>
      <c r="B13" s="97">
        <v>249.0</v>
      </c>
      <c r="C13" s="97">
        <v>111977.75918867254</v>
      </c>
      <c r="D13" s="97">
        <v>449.70987625972907</v>
      </c>
    </row>
    <row r="14" ht="14.25" customHeight="1">
      <c r="A14" s="98" t="s">
        <v>23</v>
      </c>
      <c r="B14" s="98">
        <v>250.0</v>
      </c>
      <c r="C14" s="98">
        <v>114154.44184632573</v>
      </c>
      <c r="D14" s="98"/>
      <c r="E14" s="98"/>
      <c r="F14" s="98"/>
    </row>
    <row r="15" ht="14.25" customHeight="1"/>
    <row r="16" ht="14.25" customHeight="1">
      <c r="A16" s="96"/>
      <c r="B16" s="96" t="s">
        <v>27</v>
      </c>
      <c r="C16" s="96" t="s">
        <v>40</v>
      </c>
      <c r="D16" s="96" t="s">
        <v>50</v>
      </c>
      <c r="E16" s="96" t="s">
        <v>51</v>
      </c>
      <c r="F16" s="96" t="s">
        <v>52</v>
      </c>
      <c r="G16" s="96" t="s">
        <v>53</v>
      </c>
      <c r="H16" s="96" t="s">
        <v>54</v>
      </c>
      <c r="I16" s="96" t="s">
        <v>55</v>
      </c>
    </row>
    <row r="17" ht="14.25" customHeight="1">
      <c r="A17" s="97" t="s">
        <v>28</v>
      </c>
      <c r="B17" s="97">
        <v>196.23290676833477</v>
      </c>
      <c r="C17" s="97">
        <v>2.6850868519781503</v>
      </c>
      <c r="D17" s="97">
        <v>73.08251747006491</v>
      </c>
      <c r="E17" s="97">
        <v>3.067192792527546E-170</v>
      </c>
      <c r="F17" s="97">
        <v>190.94452922054745</v>
      </c>
      <c r="G17" s="97">
        <v>201.5212843161221</v>
      </c>
      <c r="H17" s="97">
        <v>190.94452922054745</v>
      </c>
      <c r="I17" s="97">
        <v>201.5212843161221</v>
      </c>
    </row>
    <row r="18" ht="14.25" customHeight="1">
      <c r="A18" s="98" t="s">
        <v>29</v>
      </c>
      <c r="B18" s="98">
        <v>-0.04064255911695447</v>
      </c>
      <c r="C18" s="98">
        <v>0.018473521920556773</v>
      </c>
      <c r="D18" s="98">
        <v>-2.2000438948097205</v>
      </c>
      <c r="E18" s="98">
        <v>0.028722819811814498</v>
      </c>
      <c r="F18" s="98">
        <v>-0.07702684161465319</v>
      </c>
      <c r="G18" s="98">
        <v>-0.004258276619255749</v>
      </c>
      <c r="H18" s="98">
        <v>-0.07702684161465319</v>
      </c>
      <c r="I18" s="98">
        <v>-0.004258276619255749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